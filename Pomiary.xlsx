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3eea4af91086274/Pulpit/SEM5/SBD/P1/"/>
    </mc:Choice>
  </mc:AlternateContent>
  <xr:revisionPtr revIDLastSave="27" documentId="8_{2FCF4A24-72F7-4805-86B8-F02B7F7B739A}" xr6:coauthVersionLast="47" xr6:coauthVersionMax="47" xr10:uidLastSave="{B432F5D7-AA74-47C7-A04E-2FA9670C920D}"/>
  <bookViews>
    <workbookView xWindow="-105" yWindow="0" windowWidth="14610" windowHeight="15585" xr2:uid="{63E0899F-1F7B-41C1-81BE-D2DEB1B2E785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4" i="1" l="1"/>
  <c r="G6" i="1"/>
  <c r="I6" i="1" s="1"/>
  <c r="K3" i="1"/>
  <c r="K4" i="1"/>
  <c r="K5" i="1"/>
  <c r="K6" i="1"/>
  <c r="K7" i="1"/>
  <c r="K8" i="1"/>
  <c r="K9" i="1"/>
  <c r="G9" i="1" s="1"/>
  <c r="K10" i="1"/>
  <c r="G10" i="1" s="1"/>
  <c r="I10" i="1" s="1"/>
  <c r="K11" i="1"/>
  <c r="K12" i="1"/>
  <c r="G12" i="1" s="1"/>
  <c r="K13" i="1"/>
  <c r="G13" i="1" s="1"/>
  <c r="K14" i="1"/>
  <c r="K15" i="1"/>
  <c r="K16" i="1"/>
  <c r="K2" i="1"/>
  <c r="G2" i="1"/>
  <c r="I2" i="1" s="1"/>
  <c r="G3" i="1"/>
  <c r="B12" i="1"/>
  <c r="B13" i="1"/>
  <c r="B14" i="1" s="1"/>
  <c r="B11" i="1"/>
  <c r="B10" i="1"/>
  <c r="G4" i="1"/>
  <c r="I4" i="1" s="1"/>
  <c r="G5" i="1"/>
  <c r="G7" i="1"/>
  <c r="G8" i="1"/>
  <c r="G11" i="1"/>
  <c r="F2" i="1"/>
  <c r="F3" i="1"/>
  <c r="F4" i="1"/>
  <c r="F5" i="1"/>
  <c r="F6" i="1"/>
  <c r="F7" i="1"/>
  <c r="F8" i="1"/>
  <c r="F9" i="1"/>
  <c r="F10" i="1"/>
  <c r="H10" i="1" s="1"/>
  <c r="F11" i="1"/>
  <c r="F12" i="1"/>
  <c r="F13" i="1"/>
  <c r="E4" i="1"/>
  <c r="E5" i="1"/>
  <c r="H5" i="1" s="1"/>
  <c r="E6" i="1"/>
  <c r="H6" i="1" s="1"/>
  <c r="E7" i="1"/>
  <c r="H7" i="1" s="1"/>
  <c r="E8" i="1"/>
  <c r="E9" i="1"/>
  <c r="E10" i="1"/>
  <c r="E11" i="1"/>
  <c r="H11" i="1" s="1"/>
  <c r="E12" i="1"/>
  <c r="E13" i="1"/>
  <c r="E15" i="1"/>
  <c r="E16" i="1"/>
  <c r="E3" i="1"/>
  <c r="H3" i="1" s="1"/>
  <c r="E2" i="1"/>
  <c r="H2" i="1" s="1"/>
  <c r="I13" i="1" l="1"/>
  <c r="I9" i="1"/>
  <c r="I8" i="1"/>
  <c r="I7" i="1"/>
  <c r="I5" i="1"/>
  <c r="I3" i="1"/>
  <c r="I12" i="1"/>
  <c r="I11" i="1"/>
  <c r="B15" i="1"/>
  <c r="F14" i="1"/>
  <c r="G14" i="1"/>
  <c r="I14" i="1" s="1"/>
  <c r="H12" i="1"/>
  <c r="H14" i="1"/>
  <c r="H13" i="1"/>
  <c r="H4" i="1"/>
  <c r="H9" i="1"/>
  <c r="H8" i="1"/>
  <c r="G15" i="1" l="1"/>
  <c r="I15" i="1" s="1"/>
  <c r="F15" i="1"/>
  <c r="H15" i="1" s="1"/>
  <c r="B16" i="1"/>
  <c r="F16" i="1" l="1"/>
  <c r="H16" i="1" s="1"/>
  <c r="G16" i="1"/>
  <c r="I16" i="1" s="1"/>
</calcChain>
</file>

<file path=xl/sharedStrings.xml><?xml version="1.0" encoding="utf-8"?>
<sst xmlns="http://schemas.openxmlformats.org/spreadsheetml/2006/main" count="11" uniqueCount="11">
  <si>
    <t>N</t>
  </si>
  <si>
    <t>R</t>
  </si>
  <si>
    <t>W</t>
  </si>
  <si>
    <t>R+W</t>
  </si>
  <si>
    <t>Fazy</t>
  </si>
  <si>
    <t>Fazy (teor.)</t>
  </si>
  <si>
    <t>R+W (teor.)</t>
  </si>
  <si>
    <t>b</t>
  </si>
  <si>
    <t>Błąd</t>
  </si>
  <si>
    <t>R+W (teor.2)</t>
  </si>
  <si>
    <t>Błąd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</si>
</sst>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_z_ł"/>
  </numFmts>
  <fonts count="1" x14ac:knownFonts="1">
    <font>
      <sz val="11"/>
      <color theme="1"/>
      <name val="Aptos Narrow"/>
      <family val="2"/>
      <charset val="23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</cellXfs>
  <cellStyles count="1">
    <cellStyle name="Normalny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l-PL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Arkusz1!$E$1</c:f>
              <c:strCache>
                <c:ptCount val="1"/>
                <c:pt idx="0">
                  <c:v>R+W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Arkusz1!$B$2:$B$16</c:f>
              <c:numCache>
                <c:formatCode>General</c:formatCode>
                <c:ptCount val="15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  <c:pt idx="4">
                  <c:v>1024</c:v>
                </c:pt>
                <c:pt idx="5">
                  <c:v>2048</c:v>
                </c:pt>
                <c:pt idx="6">
                  <c:v>4096</c:v>
                </c:pt>
                <c:pt idx="7">
                  <c:v>8192</c:v>
                </c:pt>
                <c:pt idx="8">
                  <c:v>16384</c:v>
                </c:pt>
                <c:pt idx="9">
                  <c:v>32768</c:v>
                </c:pt>
                <c:pt idx="10">
                  <c:v>65536</c:v>
                </c:pt>
                <c:pt idx="11">
                  <c:v>131072</c:v>
                </c:pt>
                <c:pt idx="12">
                  <c:v>262144</c:v>
                </c:pt>
                <c:pt idx="13">
                  <c:v>524288</c:v>
                </c:pt>
                <c:pt idx="14">
                  <c:v>1048576</c:v>
                </c:pt>
              </c:numCache>
            </c:numRef>
          </c:xVal>
          <c:yVal>
            <c:numRef>
              <c:f>Arkusz1!$E$2:$E$16</c:f>
              <c:numCache>
                <c:formatCode>General</c:formatCode>
                <c:ptCount val="15"/>
                <c:pt idx="0">
                  <c:v>19</c:v>
                </c:pt>
                <c:pt idx="1">
                  <c:v>23</c:v>
                </c:pt>
                <c:pt idx="2">
                  <c:v>27</c:v>
                </c:pt>
                <c:pt idx="3">
                  <c:v>58</c:v>
                </c:pt>
                <c:pt idx="4">
                  <c:v>100</c:v>
                </c:pt>
                <c:pt idx="5">
                  <c:v>214</c:v>
                </c:pt>
                <c:pt idx="6">
                  <c:v>444</c:v>
                </c:pt>
                <c:pt idx="7">
                  <c:v>926</c:v>
                </c:pt>
                <c:pt idx="8">
                  <c:v>2014</c:v>
                </c:pt>
                <c:pt idx="9">
                  <c:v>4186</c:v>
                </c:pt>
                <c:pt idx="10">
                  <c:v>9074</c:v>
                </c:pt>
                <c:pt idx="11">
                  <c:v>18914</c:v>
                </c:pt>
                <c:pt idx="12">
                  <c:v>40634</c:v>
                </c:pt>
                <c:pt idx="13">
                  <c:v>84466</c:v>
                </c:pt>
                <c:pt idx="14">
                  <c:v>179618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D71-4BF8-B8EA-A2664AB7A7E5}"/>
            </c:ext>
          </c:extLst>
        </c:ser>
        <c:ser>
          <c:idx val="1"/>
          <c:order val="1"/>
          <c:tx>
            <c:strRef>
              <c:f>Arkusz1!$F$1</c:f>
              <c:strCache>
                <c:ptCount val="1"/>
                <c:pt idx="0">
                  <c:v>R+W (teor.)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Arkusz1!$B$2:$B$16</c:f>
              <c:numCache>
                <c:formatCode>General</c:formatCode>
                <c:ptCount val="15"/>
                <c:pt idx="0">
                  <c:v>64</c:v>
                </c:pt>
                <c:pt idx="1">
                  <c:v>128</c:v>
                </c:pt>
                <c:pt idx="2">
                  <c:v>256</c:v>
                </c:pt>
                <c:pt idx="3">
                  <c:v>512</c:v>
                </c:pt>
                <c:pt idx="4">
                  <c:v>1024</c:v>
                </c:pt>
                <c:pt idx="5">
                  <c:v>2048</c:v>
                </c:pt>
                <c:pt idx="6">
                  <c:v>4096</c:v>
                </c:pt>
                <c:pt idx="7">
                  <c:v>8192</c:v>
                </c:pt>
                <c:pt idx="8">
                  <c:v>16384</c:v>
                </c:pt>
                <c:pt idx="9">
                  <c:v>32768</c:v>
                </c:pt>
                <c:pt idx="10">
                  <c:v>65536</c:v>
                </c:pt>
                <c:pt idx="11">
                  <c:v>131072</c:v>
                </c:pt>
                <c:pt idx="12">
                  <c:v>262144</c:v>
                </c:pt>
                <c:pt idx="13">
                  <c:v>524288</c:v>
                </c:pt>
                <c:pt idx="14">
                  <c:v>1048576</c:v>
                </c:pt>
              </c:numCache>
            </c:numRef>
          </c:xVal>
          <c:yVal>
            <c:numRef>
              <c:f>Arkusz1!$F$2:$F$16</c:f>
              <c:numCache>
                <c:formatCode>#\ ##0.00\ _z_ł</c:formatCode>
                <c:ptCount val="15"/>
                <c:pt idx="0">
                  <c:v>3.1</c:v>
                </c:pt>
                <c:pt idx="1">
                  <c:v>7.24</c:v>
                </c:pt>
                <c:pt idx="2">
                  <c:v>16.560000000000002</c:v>
                </c:pt>
                <c:pt idx="3">
                  <c:v>37.28</c:v>
                </c:pt>
                <c:pt idx="4">
                  <c:v>82.88</c:v>
                </c:pt>
                <c:pt idx="5">
                  <c:v>182.4</c:v>
                </c:pt>
                <c:pt idx="6">
                  <c:v>398.08000000000004</c:v>
                </c:pt>
                <c:pt idx="7">
                  <c:v>862.72</c:v>
                </c:pt>
                <c:pt idx="8">
                  <c:v>1858.56</c:v>
                </c:pt>
                <c:pt idx="9">
                  <c:v>3983.36</c:v>
                </c:pt>
                <c:pt idx="10">
                  <c:v>8499.2000000000007</c:v>
                </c:pt>
                <c:pt idx="11">
                  <c:v>18063.36</c:v>
                </c:pt>
                <c:pt idx="12">
                  <c:v>38256.639999999999</c:v>
                </c:pt>
                <c:pt idx="13">
                  <c:v>80773.119999999995</c:v>
                </c:pt>
                <c:pt idx="14">
                  <c:v>170065.92000000001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2D71-4BF8-B8EA-A2664AB7A7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3195231"/>
        <c:axId val="1043196191"/>
      </c:scatterChart>
      <c:valAx>
        <c:axId val="1043195231"/>
        <c:scaling>
          <c:logBase val="2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3196191"/>
        <c:crosses val="autoZero"/>
        <c:crossBetween val="midCat"/>
      </c:valAx>
      <c:valAx>
        <c:axId val="1043196191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l-PL"/>
          </a:p>
        </c:txPr>
        <c:crossAx val="104319523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l-P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l-P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243840</xdr:colOff>
      <xdr:row>19</xdr:row>
      <xdr:rowOff>118110</xdr:rowOff>
    </xdr:from>
    <xdr:to>
      <xdr:col>12</xdr:col>
      <xdr:colOff>563880</xdr:colOff>
      <xdr:row>46</xdr:row>
      <xdr:rowOff>99060</xdr:rowOff>
    </xdr:to>
    <xdr:graphicFrame macro="">
      <xdr:nvGraphicFramePr>
        <xdr:cNvPr id="2" name="Wykres 1">
          <a:extLst>
            <a:ext uri="{FF2B5EF4-FFF2-40B4-BE49-F238E27FC236}">
              <a16:creationId xmlns:a16="http://schemas.microsoft.com/office/drawing/2014/main" id="{BA144038-C847-A965-2DDE-7BAC49193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FACBD2-E050-4C25-B7F3-B372F54F54CB}">
  <dimension ref="A1:K16"/>
  <sheetViews>
    <sheetView tabSelected="1" topLeftCell="A4" zoomScaleNormal="100" workbookViewId="0">
      <selection activeCell="L13" sqref="L13"/>
    </sheetView>
  </sheetViews>
  <sheetFormatPr defaultRowHeight="15" x14ac:dyDescent="0.25"/>
  <cols>
    <col min="2" max="5" width="8.85546875" style="1"/>
    <col min="6" max="6" width="12.85546875" style="2" customWidth="1"/>
    <col min="7" max="7" width="13.42578125" style="2" customWidth="1"/>
    <col min="8" max="8" width="13" style="1" customWidth="1"/>
  </cols>
  <sheetData>
    <row r="1" spans="1:11" x14ac:dyDescent="0.25">
      <c r="A1" s="1" t="s">
        <v>7</v>
      </c>
      <c r="B1" s="1" t="s">
        <v>0</v>
      </c>
      <c r="C1" s="1" t="s">
        <v>1</v>
      </c>
      <c r="D1" s="1" t="s">
        <v>2</v>
      </c>
      <c r="E1" s="1" t="s">
        <v>3</v>
      </c>
      <c r="F1" s="2" t="s">
        <v>6</v>
      </c>
      <c r="G1" s="2" t="s">
        <v>9</v>
      </c>
      <c r="H1" s="1" t="s">
        <v>8</v>
      </c>
      <c r="I1" s="1" t="s">
        <v>10</v>
      </c>
      <c r="J1" s="1" t="s">
        <v>4</v>
      </c>
      <c r="K1" s="1" t="s">
        <v>5</v>
      </c>
    </row>
    <row r="2" spans="1:11" x14ac:dyDescent="0.25">
      <c r="A2" s="1">
        <v>256</v>
      </c>
      <c r="B2" s="1">
        <v>64</v>
      </c>
      <c r="C2" s="1">
        <v>10</v>
      </c>
      <c r="D2" s="1">
        <v>9</v>
      </c>
      <c r="E2" s="1">
        <f>SUM(C2:D2)</f>
        <v>19</v>
      </c>
      <c r="F2" s="2">
        <f>(2*B2/$A$2)*(1.04*LOG(B2/2,2)+1)</f>
        <v>3.1</v>
      </c>
      <c r="G2" s="2">
        <f t="shared" ref="G2:G16" si="0">(2*B2/$A$2)*(1.04*LOG(B2/2,2)+1.5+IF(MOD(ROUND(K2,0)-1,3)=0,0,1))</f>
        <v>3.35</v>
      </c>
      <c r="H2" s="1">
        <f t="shared" ref="H2:H16" si="1">(E2-F2)/E2</f>
        <v>0.83684210526315794</v>
      </c>
      <c r="I2" s="1">
        <f>(E2-G2)/E2</f>
        <v>0.8236842105263158</v>
      </c>
      <c r="J2" s="1">
        <v>7</v>
      </c>
      <c r="K2" s="1">
        <f>1.44*LOG(B2/2,2)</f>
        <v>7.1999999999999993</v>
      </c>
    </row>
    <row r="3" spans="1:11" x14ac:dyDescent="0.25">
      <c r="B3" s="1">
        <v>128</v>
      </c>
      <c r="C3" s="1">
        <v>12</v>
      </c>
      <c r="D3" s="1">
        <v>11</v>
      </c>
      <c r="E3" s="1">
        <f>SUM(C3:D3)</f>
        <v>23</v>
      </c>
      <c r="F3" s="2">
        <f t="shared" ref="F3:F16" si="2">(2*B3/$A$2)*(1.04*LOG(B3/2,2)+1)</f>
        <v>7.24</v>
      </c>
      <c r="G3" s="2">
        <f t="shared" si="0"/>
        <v>8.74</v>
      </c>
      <c r="H3" s="1">
        <f t="shared" si="1"/>
        <v>0.68521739130434778</v>
      </c>
      <c r="I3" s="1">
        <f t="shared" ref="I3:I16" si="3">(E3-G3)/E3</f>
        <v>0.62</v>
      </c>
      <c r="J3" s="1">
        <v>9</v>
      </c>
      <c r="K3" s="1">
        <f t="shared" ref="K3:K16" si="4">1.44*LOG(B3/2,2)</f>
        <v>8.64</v>
      </c>
    </row>
    <row r="4" spans="1:11" x14ac:dyDescent="0.25">
      <c r="B4" s="1">
        <v>256</v>
      </c>
      <c r="C4" s="1">
        <v>15</v>
      </c>
      <c r="D4" s="1">
        <v>12</v>
      </c>
      <c r="E4" s="1">
        <f t="shared" ref="E4:E16" si="5">SUM(C4:D4)</f>
        <v>27</v>
      </c>
      <c r="F4" s="2">
        <f t="shared" si="2"/>
        <v>16.560000000000002</v>
      </c>
      <c r="G4" s="2">
        <f t="shared" si="0"/>
        <v>17.560000000000002</v>
      </c>
      <c r="H4" s="1">
        <f t="shared" si="1"/>
        <v>0.3866666666666666</v>
      </c>
      <c r="I4" s="1">
        <f t="shared" si="3"/>
        <v>0.34962962962962957</v>
      </c>
      <c r="J4" s="1">
        <v>10</v>
      </c>
      <c r="K4" s="1">
        <f t="shared" si="4"/>
        <v>10.08</v>
      </c>
    </row>
    <row r="5" spans="1:11" x14ac:dyDescent="0.25">
      <c r="B5" s="1">
        <v>512</v>
      </c>
      <c r="C5" s="1">
        <v>31</v>
      </c>
      <c r="D5" s="1">
        <v>27</v>
      </c>
      <c r="E5" s="1">
        <f t="shared" si="5"/>
        <v>58</v>
      </c>
      <c r="F5" s="2">
        <f t="shared" si="2"/>
        <v>37.28</v>
      </c>
      <c r="G5" s="2">
        <f t="shared" si="0"/>
        <v>43.28</v>
      </c>
      <c r="H5" s="1">
        <f t="shared" si="1"/>
        <v>0.35724137931034483</v>
      </c>
      <c r="I5" s="1">
        <f t="shared" si="3"/>
        <v>0.25379310344827583</v>
      </c>
      <c r="J5" s="1">
        <v>12</v>
      </c>
      <c r="K5" s="1">
        <f t="shared" si="4"/>
        <v>11.52</v>
      </c>
    </row>
    <row r="6" spans="1:11" x14ac:dyDescent="0.25">
      <c r="B6" s="1">
        <v>1024</v>
      </c>
      <c r="C6" s="1">
        <v>53</v>
      </c>
      <c r="D6" s="1">
        <v>47</v>
      </c>
      <c r="E6" s="1">
        <f t="shared" si="5"/>
        <v>100</v>
      </c>
      <c r="F6" s="2">
        <f t="shared" si="2"/>
        <v>82.88</v>
      </c>
      <c r="G6" s="2">
        <f>(2*B6/$A$2)*(1.04*LOG(B6/2,2)+1.5+IF(MOD(ROUND(K6,0)-1,3)=0,0,1))</f>
        <v>86.88</v>
      </c>
      <c r="H6" s="1">
        <f t="shared" si="1"/>
        <v>0.17120000000000005</v>
      </c>
      <c r="I6" s="1">
        <f t="shared" si="3"/>
        <v>0.13120000000000004</v>
      </c>
      <c r="J6" s="1">
        <v>13</v>
      </c>
      <c r="K6" s="1">
        <f t="shared" si="4"/>
        <v>12.959999999999999</v>
      </c>
    </row>
    <row r="7" spans="1:11" x14ac:dyDescent="0.25">
      <c r="B7" s="1">
        <v>2048</v>
      </c>
      <c r="C7" s="1">
        <v>112</v>
      </c>
      <c r="D7" s="1">
        <v>102</v>
      </c>
      <c r="E7" s="1">
        <f t="shared" si="5"/>
        <v>214</v>
      </c>
      <c r="F7" s="2">
        <f t="shared" si="2"/>
        <v>182.4</v>
      </c>
      <c r="G7" s="2">
        <f t="shared" si="0"/>
        <v>206.4</v>
      </c>
      <c r="H7" s="1">
        <f t="shared" si="1"/>
        <v>0.14766355140186913</v>
      </c>
      <c r="I7" s="1">
        <f t="shared" si="3"/>
        <v>3.551401869158876E-2</v>
      </c>
      <c r="J7" s="1">
        <v>15</v>
      </c>
      <c r="K7" s="1">
        <f t="shared" si="4"/>
        <v>14.399999999999999</v>
      </c>
    </row>
    <row r="8" spans="1:11" x14ac:dyDescent="0.25">
      <c r="B8" s="1">
        <v>4096</v>
      </c>
      <c r="C8" s="1">
        <v>231</v>
      </c>
      <c r="D8" s="1">
        <v>213</v>
      </c>
      <c r="E8" s="1">
        <f t="shared" si="5"/>
        <v>444</v>
      </c>
      <c r="F8" s="2">
        <f t="shared" si="2"/>
        <v>398.08000000000004</v>
      </c>
      <c r="G8" s="2">
        <f t="shared" si="0"/>
        <v>414.08000000000004</v>
      </c>
      <c r="H8" s="1">
        <f t="shared" si="1"/>
        <v>0.10342342342342332</v>
      </c>
      <c r="I8" s="1">
        <f t="shared" si="3"/>
        <v>6.7387387387387296E-2</v>
      </c>
      <c r="J8" s="1">
        <v>16</v>
      </c>
      <c r="K8" s="1">
        <f t="shared" si="4"/>
        <v>15.84</v>
      </c>
    </row>
    <row r="9" spans="1:11" x14ac:dyDescent="0.25">
      <c r="B9" s="1">
        <v>8192</v>
      </c>
      <c r="C9" s="1">
        <v>480</v>
      </c>
      <c r="D9" s="1">
        <v>446</v>
      </c>
      <c r="E9" s="1">
        <f t="shared" si="5"/>
        <v>926</v>
      </c>
      <c r="F9" s="2">
        <f t="shared" si="2"/>
        <v>862.72</v>
      </c>
      <c r="G9" s="2">
        <f t="shared" si="0"/>
        <v>958.72</v>
      </c>
      <c r="H9" s="1">
        <f t="shared" si="1"/>
        <v>6.8336933045356346E-2</v>
      </c>
      <c r="I9" s="1">
        <f t="shared" si="3"/>
        <v>-3.533477321814258E-2</v>
      </c>
      <c r="J9" s="1">
        <v>17</v>
      </c>
      <c r="K9" s="1">
        <f t="shared" si="4"/>
        <v>17.28</v>
      </c>
    </row>
    <row r="10" spans="1:11" x14ac:dyDescent="0.25">
      <c r="B10" s="1">
        <f>8192*2</f>
        <v>16384</v>
      </c>
      <c r="C10" s="1">
        <v>1040</v>
      </c>
      <c r="D10" s="1">
        <v>974</v>
      </c>
      <c r="E10" s="1">
        <f t="shared" si="5"/>
        <v>2014</v>
      </c>
      <c r="F10" s="2">
        <f t="shared" si="2"/>
        <v>1858.56</v>
      </c>
      <c r="G10" s="2">
        <f t="shared" si="0"/>
        <v>1922.56</v>
      </c>
      <c r="H10" s="1">
        <f t="shared" si="1"/>
        <v>7.7179741807348587E-2</v>
      </c>
      <c r="I10" s="1">
        <f t="shared" si="3"/>
        <v>4.5402184707050673E-2</v>
      </c>
      <c r="J10" s="1">
        <v>19</v>
      </c>
      <c r="K10" s="1">
        <f t="shared" si="4"/>
        <v>18.72</v>
      </c>
    </row>
    <row r="11" spans="1:11" x14ac:dyDescent="0.25">
      <c r="B11" s="1">
        <f>2*B10</f>
        <v>32768</v>
      </c>
      <c r="C11" s="1">
        <v>2158</v>
      </c>
      <c r="D11" s="1">
        <v>2028</v>
      </c>
      <c r="E11" s="1">
        <f t="shared" si="5"/>
        <v>4186</v>
      </c>
      <c r="F11" s="2">
        <f t="shared" si="2"/>
        <v>3983.36</v>
      </c>
      <c r="G11" s="2">
        <f t="shared" si="0"/>
        <v>4367.3600000000006</v>
      </c>
      <c r="H11" s="1">
        <f t="shared" si="1"/>
        <v>4.840898232202577E-2</v>
      </c>
      <c r="I11" s="1">
        <f t="shared" si="3"/>
        <v>-4.3325370281892157E-2</v>
      </c>
      <c r="J11" s="1">
        <v>20</v>
      </c>
      <c r="K11" s="1">
        <f t="shared" si="4"/>
        <v>20.16</v>
      </c>
    </row>
    <row r="12" spans="1:11" x14ac:dyDescent="0.25">
      <c r="B12" s="1">
        <f t="shared" ref="B12:B16" si="6">2*B11</f>
        <v>65536</v>
      </c>
      <c r="C12" s="1">
        <v>4666</v>
      </c>
      <c r="D12" s="1">
        <v>4408</v>
      </c>
      <c r="E12" s="1">
        <f t="shared" si="5"/>
        <v>9074</v>
      </c>
      <c r="F12" s="2">
        <f t="shared" si="2"/>
        <v>8499.2000000000007</v>
      </c>
      <c r="G12" s="2">
        <f t="shared" si="0"/>
        <v>8755.2000000000007</v>
      </c>
      <c r="H12" s="1">
        <f t="shared" si="1"/>
        <v>6.3345823231209977E-2</v>
      </c>
      <c r="I12" s="1">
        <f t="shared" si="3"/>
        <v>3.5133348027330757E-2</v>
      </c>
      <c r="J12" s="1">
        <v>22</v>
      </c>
      <c r="K12" s="1">
        <f t="shared" si="4"/>
        <v>21.599999999999998</v>
      </c>
    </row>
    <row r="13" spans="1:11" x14ac:dyDescent="0.25">
      <c r="B13" s="1">
        <f t="shared" si="6"/>
        <v>131072</v>
      </c>
      <c r="C13" s="1">
        <v>9714</v>
      </c>
      <c r="D13" s="1">
        <v>9200</v>
      </c>
      <c r="E13" s="1">
        <f t="shared" si="5"/>
        <v>18914</v>
      </c>
      <c r="F13" s="2">
        <f t="shared" si="2"/>
        <v>18063.36</v>
      </c>
      <c r="G13" s="2">
        <f t="shared" si="0"/>
        <v>19599.36</v>
      </c>
      <c r="H13" s="1">
        <f t="shared" si="1"/>
        <v>4.4974093264248671E-2</v>
      </c>
      <c r="I13" s="1">
        <f t="shared" si="3"/>
        <v>-3.6235592682668953E-2</v>
      </c>
      <c r="J13" s="1">
        <v>23</v>
      </c>
      <c r="K13" s="1">
        <f t="shared" si="4"/>
        <v>23.04</v>
      </c>
    </row>
    <row r="14" spans="1:11" x14ac:dyDescent="0.25">
      <c r="B14" s="1">
        <f t="shared" si="6"/>
        <v>262144</v>
      </c>
      <c r="C14" s="1">
        <v>20830</v>
      </c>
      <c r="D14" s="1">
        <v>19804</v>
      </c>
      <c r="E14" s="1">
        <f>SUM(C14:D14)</f>
        <v>40634</v>
      </c>
      <c r="F14" s="2">
        <f t="shared" si="2"/>
        <v>38256.639999999999</v>
      </c>
      <c r="G14" s="2">
        <f t="shared" si="0"/>
        <v>41328.639999999999</v>
      </c>
      <c r="H14" s="1">
        <f t="shared" si="1"/>
        <v>5.8506669291726154E-2</v>
      </c>
      <c r="I14" s="1">
        <f t="shared" si="3"/>
        <v>-1.7095043559580633E-2</v>
      </c>
      <c r="J14" s="1">
        <v>25</v>
      </c>
      <c r="K14" s="1">
        <f t="shared" si="4"/>
        <v>24.48</v>
      </c>
    </row>
    <row r="15" spans="1:11" x14ac:dyDescent="0.25">
      <c r="B15" s="1">
        <f t="shared" si="6"/>
        <v>524288</v>
      </c>
      <c r="C15" s="1">
        <v>43258</v>
      </c>
      <c r="D15" s="1">
        <v>41208</v>
      </c>
      <c r="E15" s="1">
        <f t="shared" si="5"/>
        <v>84466</v>
      </c>
      <c r="F15" s="2">
        <f t="shared" si="2"/>
        <v>80773.119999999995</v>
      </c>
      <c r="G15" s="2">
        <f t="shared" si="0"/>
        <v>86917.119999999995</v>
      </c>
      <c r="H15" s="1">
        <f t="shared" si="1"/>
        <v>4.3720313498922699E-2</v>
      </c>
      <c r="I15" s="1">
        <f t="shared" si="3"/>
        <v>-2.901901356758927E-2</v>
      </c>
      <c r="J15" s="1">
        <v>26</v>
      </c>
      <c r="K15" s="1">
        <f t="shared" si="4"/>
        <v>25.919999999999998</v>
      </c>
    </row>
    <row r="16" spans="1:11" x14ac:dyDescent="0.25">
      <c r="B16" s="1">
        <f t="shared" si="6"/>
        <v>1048576</v>
      </c>
      <c r="C16" s="1">
        <v>91833</v>
      </c>
      <c r="D16" s="1">
        <v>87785</v>
      </c>
      <c r="E16" s="1">
        <f t="shared" si="5"/>
        <v>179618</v>
      </c>
      <c r="F16" s="2">
        <f t="shared" si="2"/>
        <v>170065.92000000001</v>
      </c>
      <c r="G16" s="2">
        <f t="shared" si="0"/>
        <v>182353.92000000001</v>
      </c>
      <c r="H16" s="1">
        <f t="shared" si="1"/>
        <v>5.3179970826977181E-2</v>
      </c>
      <c r="I16" s="1">
        <f t="shared" si="3"/>
        <v>-1.5231880991882845E-2</v>
      </c>
      <c r="J16" s="1"/>
      <c r="K16" s="1">
        <f t="shared" si="4"/>
        <v>27.36</v>
      </c>
    </row>
  </sheetData>
  <pageMargins left="0.7" right="0.7" top="0.75" bottom="0.75" header="0.3" footer="0.3"/>
  <pageSetup paperSize="9" orientation="portrait" horizontalDpi="0" verticalDpi="0" r:id="rId1"/>
  <ignoredErrors>
    <ignoredError sqref="E2:E9" formulaRange="1"/>
  </ignoredError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Kacper Grzelakowski</dc:creator>
  <cp:lastModifiedBy>Kacper Grzelakowski</cp:lastModifiedBy>
  <dcterms:created xsi:type="dcterms:W3CDTF">2025-11-08T19:31:38Z</dcterms:created>
  <dcterms:modified xsi:type="dcterms:W3CDTF">2025-11-12T18:42:26Z</dcterms:modified>
</cp:coreProperties>
</file>