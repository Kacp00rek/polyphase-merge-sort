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3eea4af91086274/Pulpit/SEM5/SBD/P1/"/>
    </mc:Choice>
  </mc:AlternateContent>
  <xr:revisionPtr revIDLastSave="187" documentId="8_{2FCF4A24-72F7-4805-86B8-F02B7F7B739A}" xr6:coauthVersionLast="47" xr6:coauthVersionMax="47" xr10:uidLastSave="{A78E966F-B154-4E5B-ABA8-0823237D6869}"/>
  <bookViews>
    <workbookView xWindow="-120" yWindow="-120" windowWidth="29040" windowHeight="15720" xr2:uid="{63E0899F-1F7B-41C1-81BE-D2DEB1B2E785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K2" i="1"/>
  <c r="T20" i="1" s="1"/>
  <c r="U20" i="1" s="1"/>
  <c r="K3" i="1"/>
  <c r="T21" i="1" s="1"/>
  <c r="U21" i="1" s="1"/>
  <c r="K4" i="1"/>
  <c r="T22" i="1" s="1"/>
  <c r="U22" i="1" s="1"/>
  <c r="K5" i="1"/>
  <c r="L5" i="1" s="1"/>
  <c r="K6" i="1"/>
  <c r="T24" i="1" s="1"/>
  <c r="U24" i="1" s="1"/>
  <c r="K7" i="1"/>
  <c r="T25" i="1" s="1"/>
  <c r="U25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T33" i="1" s="1"/>
  <c r="U33" i="1" s="1"/>
  <c r="K16" i="1"/>
  <c r="T34" i="1" s="1"/>
  <c r="U34" i="1" s="1"/>
  <c r="L7" i="1"/>
  <c r="L15" i="1"/>
  <c r="L16" i="1"/>
  <c r="S20" i="1"/>
  <c r="T23" i="1"/>
  <c r="U23" i="1" s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P28" i="1"/>
  <c r="P29" i="1" s="1"/>
  <c r="P30" i="1" s="1"/>
  <c r="P31" i="1" s="1"/>
  <c r="P32" i="1" s="1"/>
  <c r="P33" i="1" s="1"/>
  <c r="P34" i="1" s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  <c r="P10" i="1"/>
  <c r="P11" i="1" s="1"/>
  <c r="P12" i="1" s="1"/>
  <c r="P13" i="1" s="1"/>
  <c r="P14" i="1" s="1"/>
  <c r="P15" i="1" s="1"/>
  <c r="P16" i="1" s="1"/>
  <c r="J2" i="1"/>
  <c r="F2" i="1"/>
  <c r="I2" i="1"/>
  <c r="B16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I3" i="1"/>
  <c r="I4" i="1"/>
  <c r="I5" i="1"/>
  <c r="I6" i="1"/>
  <c r="J6" i="1" s="1"/>
  <c r="I7" i="1"/>
  <c r="I8" i="1"/>
  <c r="I9" i="1"/>
  <c r="I10" i="1"/>
  <c r="I11" i="1"/>
  <c r="I12" i="1"/>
  <c r="I13" i="1"/>
  <c r="I14" i="1"/>
  <c r="I15" i="1"/>
  <c r="I16" i="1"/>
  <c r="A5" i="1"/>
  <c r="E14" i="1"/>
  <c r="B10" i="1"/>
  <c r="F3" i="1"/>
  <c r="F4" i="1"/>
  <c r="F5" i="1"/>
  <c r="F6" i="1"/>
  <c r="F7" i="1"/>
  <c r="F8" i="1"/>
  <c r="F9" i="1"/>
  <c r="F10" i="1"/>
  <c r="G10" i="1" s="1"/>
  <c r="E4" i="1"/>
  <c r="E5" i="1"/>
  <c r="G5" i="1" s="1"/>
  <c r="E6" i="1"/>
  <c r="E7" i="1"/>
  <c r="G7" i="1" s="1"/>
  <c r="E8" i="1"/>
  <c r="E9" i="1"/>
  <c r="E10" i="1"/>
  <c r="E11" i="1"/>
  <c r="E12" i="1"/>
  <c r="E13" i="1"/>
  <c r="E15" i="1"/>
  <c r="E16" i="1"/>
  <c r="E3" i="1"/>
  <c r="G3" i="1" s="1"/>
  <c r="E2" i="1"/>
  <c r="T32" i="1" l="1"/>
  <c r="U32" i="1" s="1"/>
  <c r="T31" i="1"/>
  <c r="U31" i="1" s="1"/>
  <c r="T27" i="1"/>
  <c r="U27" i="1" s="1"/>
  <c r="L4" i="1"/>
  <c r="T29" i="1"/>
  <c r="U29" i="1" s="1"/>
  <c r="T28" i="1"/>
  <c r="U28" i="1" s="1"/>
  <c r="L2" i="1"/>
  <c r="T26" i="1"/>
  <c r="U26" i="1" s="1"/>
  <c r="L3" i="1"/>
  <c r="T30" i="1"/>
  <c r="U30" i="1" s="1"/>
  <c r="L6" i="1"/>
  <c r="G6" i="1"/>
  <c r="B11" i="1"/>
  <c r="G2" i="1"/>
  <c r="G4" i="1"/>
  <c r="G9" i="1"/>
  <c r="G8" i="1"/>
  <c r="F11" i="1" l="1"/>
  <c r="G11" i="1" s="1"/>
  <c r="B12" i="1"/>
  <c r="F12" i="1" l="1"/>
  <c r="G12" i="1" s="1"/>
  <c r="B13" i="1"/>
  <c r="B14" i="1" l="1"/>
  <c r="F13" i="1"/>
  <c r="G13" i="1" s="1"/>
  <c r="B15" i="1" l="1"/>
  <c r="F14" i="1"/>
  <c r="G14" i="1" s="1"/>
  <c r="F15" i="1" l="1"/>
  <c r="G15" i="1" s="1"/>
  <c r="F16" i="1" l="1"/>
  <c r="G16" i="1" s="1"/>
</calcChain>
</file>

<file path=xl/sharedStrings.xml><?xml version="1.0" encoding="utf-8"?>
<sst xmlns="http://schemas.openxmlformats.org/spreadsheetml/2006/main" count="22" uniqueCount="14">
  <si>
    <t>N</t>
  </si>
  <si>
    <t>R</t>
  </si>
  <si>
    <t>W</t>
  </si>
  <si>
    <t>R+W</t>
  </si>
  <si>
    <t>Fazy</t>
  </si>
  <si>
    <t>Fazy (teor.)</t>
  </si>
  <si>
    <t>R+W (teor.)</t>
  </si>
  <si>
    <t>b</t>
  </si>
  <si>
    <t>Błąd</t>
  </si>
  <si>
    <t>Fazy v2</t>
  </si>
  <si>
    <t>phi</t>
  </si>
  <si>
    <t>współ.</t>
  </si>
  <si>
    <t>Ilość faz</t>
  </si>
  <si>
    <t>Ilość faz (teor.)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</si>
</sst>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\ _z_ł"/>
    <numFmt numFmtId="167" formatCode="#,##0_ ;\-#,##0\ "/>
    <numFmt numFmtId="168" formatCode="#,##0.00_ ;\-#,##0.00\ "/>
    <numFmt numFmtId="169" formatCode="#,##0.000_ ;\-#,##0.000\ "/>
  </numFmts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377607853663099"/>
          <c:y val="2.7261462205700124E-2"/>
          <c:w val="0.79307327021280805"/>
          <c:h val="0.82434914966484207"/>
        </c:manualLayout>
      </c:layout>
      <c:scatterChart>
        <c:scatterStyle val="lineMarker"/>
        <c:varyColors val="0"/>
        <c:ser>
          <c:idx val="0"/>
          <c:order val="0"/>
          <c:tx>
            <c:strRef>
              <c:f>Arkusz1!$E$1</c:f>
              <c:strCache>
                <c:ptCount val="1"/>
                <c:pt idx="0">
                  <c:v>R+W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Arkusz1!$B$2:$B$16</c:f>
              <c:numCache>
                <c:formatCode>General</c:formatCode>
                <c:ptCount val="15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  <c:pt idx="4">
                  <c:v>1024</c:v>
                </c:pt>
                <c:pt idx="5">
                  <c:v>2048</c:v>
                </c:pt>
                <c:pt idx="6">
                  <c:v>4096</c:v>
                </c:pt>
                <c:pt idx="7">
                  <c:v>8192</c:v>
                </c:pt>
                <c:pt idx="8">
                  <c:v>16384</c:v>
                </c:pt>
                <c:pt idx="9">
                  <c:v>32768</c:v>
                </c:pt>
                <c:pt idx="10">
                  <c:v>65536</c:v>
                </c:pt>
                <c:pt idx="11">
                  <c:v>131072</c:v>
                </c:pt>
                <c:pt idx="12">
                  <c:v>262144</c:v>
                </c:pt>
                <c:pt idx="13">
                  <c:v>524288</c:v>
                </c:pt>
                <c:pt idx="14">
                  <c:v>1048576</c:v>
                </c:pt>
              </c:numCache>
            </c:numRef>
          </c:xVal>
          <c:yVal>
            <c:numRef>
              <c:f>Arkusz1!$E$2:$E$16</c:f>
              <c:numCache>
                <c:formatCode>General</c:formatCode>
                <c:ptCount val="15"/>
                <c:pt idx="0">
                  <c:v>19</c:v>
                </c:pt>
                <c:pt idx="1">
                  <c:v>23</c:v>
                </c:pt>
                <c:pt idx="2">
                  <c:v>27</c:v>
                </c:pt>
                <c:pt idx="3">
                  <c:v>58</c:v>
                </c:pt>
                <c:pt idx="4">
                  <c:v>100</c:v>
                </c:pt>
                <c:pt idx="5">
                  <c:v>214</c:v>
                </c:pt>
                <c:pt idx="6">
                  <c:v>444</c:v>
                </c:pt>
                <c:pt idx="7">
                  <c:v>926</c:v>
                </c:pt>
                <c:pt idx="8">
                  <c:v>2014</c:v>
                </c:pt>
                <c:pt idx="9">
                  <c:v>4186</c:v>
                </c:pt>
                <c:pt idx="10">
                  <c:v>9074</c:v>
                </c:pt>
                <c:pt idx="11">
                  <c:v>18914</c:v>
                </c:pt>
                <c:pt idx="12">
                  <c:v>40634</c:v>
                </c:pt>
                <c:pt idx="13">
                  <c:v>84466</c:v>
                </c:pt>
                <c:pt idx="14">
                  <c:v>179618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71-4BF8-B8EA-A2664AB7A7E5}"/>
            </c:ext>
          </c:extLst>
        </c:ser>
        <c:ser>
          <c:idx val="1"/>
          <c:order val="1"/>
          <c:tx>
            <c:strRef>
              <c:f>Arkusz1!$K$1</c:f>
              <c:strCache>
                <c:ptCount val="1"/>
                <c:pt idx="0">
                  <c:v>R+W (teor.)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Arkusz1!$B$2:$B$16</c:f>
              <c:numCache>
                <c:formatCode>General</c:formatCode>
                <c:ptCount val="15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  <c:pt idx="4">
                  <c:v>1024</c:v>
                </c:pt>
                <c:pt idx="5">
                  <c:v>2048</c:v>
                </c:pt>
                <c:pt idx="6">
                  <c:v>4096</c:v>
                </c:pt>
                <c:pt idx="7">
                  <c:v>8192</c:v>
                </c:pt>
                <c:pt idx="8">
                  <c:v>16384</c:v>
                </c:pt>
                <c:pt idx="9">
                  <c:v>32768</c:v>
                </c:pt>
                <c:pt idx="10">
                  <c:v>65536</c:v>
                </c:pt>
                <c:pt idx="11">
                  <c:v>131072</c:v>
                </c:pt>
                <c:pt idx="12">
                  <c:v>262144</c:v>
                </c:pt>
                <c:pt idx="13">
                  <c:v>524288</c:v>
                </c:pt>
                <c:pt idx="14">
                  <c:v>1048576</c:v>
                </c:pt>
              </c:numCache>
            </c:numRef>
          </c:xVal>
          <c:yVal>
            <c:numRef>
              <c:f>Arkusz1!$K$2:$K$16</c:f>
              <c:numCache>
                <c:formatCode>General</c:formatCode>
                <c:ptCount val="15"/>
                <c:pt idx="0">
                  <c:v>13.130495168499705</c:v>
                </c:pt>
                <c:pt idx="1">
                  <c:v>16.02492235949962</c:v>
                </c:pt>
                <c:pt idx="2">
                  <c:v>17.47213595499958</c:v>
                </c:pt>
                <c:pt idx="3">
                  <c:v>40.733126291998985</c:v>
                </c:pt>
                <c:pt idx="4">
                  <c:v>87.255106965997811</c:v>
                </c:pt>
                <c:pt idx="5">
                  <c:v>197.66563145999496</c:v>
                </c:pt>
                <c:pt idx="6">
                  <c:v>418.48668044798922</c:v>
                </c:pt>
                <c:pt idx="7">
                  <c:v>883.28419595197704</c:v>
                </c:pt>
                <c:pt idx="8">
                  <c:v>1951.8117321279487</c:v>
                </c:pt>
                <c:pt idx="9">
                  <c:v>4088.8668044798924</c:v>
                </c:pt>
                <c:pt idx="10">
                  <c:v>8918.7069698557625</c:v>
                </c:pt>
                <c:pt idx="11">
                  <c:v>18578.387300607505</c:v>
                </c:pt>
                <c:pt idx="12">
                  <c:v>40120.66804479892</c:v>
                </c:pt>
                <c:pt idx="13">
                  <c:v>83205.229533181759</c:v>
                </c:pt>
                <c:pt idx="14">
                  <c:v>178266.03284069916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D71-4BF8-B8EA-A2664AB7A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195231"/>
        <c:axId val="1043196191"/>
      </c:scatterChart>
      <c:valAx>
        <c:axId val="1043195231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43196191"/>
        <c:crosses val="autoZero"/>
        <c:crossBetween val="midCat"/>
      </c:valAx>
      <c:valAx>
        <c:axId val="104319619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Liczba</a:t>
                </a:r>
                <a:r>
                  <a:rPr lang="pl-PL" baseline="0"/>
                  <a:t> operacji dyskowych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43195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243840</xdr:colOff>
      <xdr:row>19</xdr:row>
      <xdr:rowOff>118110</xdr:rowOff>
    </xdr:from>
    <xdr:to>
      <xdr:col>12</xdr:col>
      <xdr:colOff>563880</xdr:colOff>
      <xdr:row>46</xdr:row>
      <xdr:rowOff>99060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BA144038-C847-A965-2DDE-7BAC49193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CBD2-E050-4C25-B7F3-B372F54F54CB}">
  <dimension ref="A1:U34"/>
  <sheetViews>
    <sheetView tabSelected="1" zoomScaleNormal="100" workbookViewId="0">
      <selection activeCell="Q42" sqref="Q42"/>
    </sheetView>
  </sheetViews>
  <sheetFormatPr defaultRowHeight="15" x14ac:dyDescent="0.25"/>
  <cols>
    <col min="2" max="5" width="8.85546875" style="1"/>
    <col min="6" max="6" width="12.85546875" style="2" customWidth="1"/>
    <col min="7" max="7" width="13.42578125" style="2" customWidth="1"/>
    <col min="8" max="8" width="13" style="1" customWidth="1"/>
    <col min="9" max="9" width="13.140625" customWidth="1"/>
    <col min="10" max="10" width="9.42578125" bestFit="1" customWidth="1"/>
    <col min="11" max="11" width="16.28515625" customWidth="1"/>
    <col min="16" max="16" width="12.140625" bestFit="1" customWidth="1"/>
    <col min="17" max="17" width="9.7109375" bestFit="1" customWidth="1"/>
    <col min="18" max="18" width="14.7109375" customWidth="1"/>
    <col min="19" max="19" width="10.7109375" bestFit="1" customWidth="1"/>
    <col min="20" max="20" width="13.7109375" customWidth="1"/>
  </cols>
  <sheetData>
    <row r="1" spans="1:18" x14ac:dyDescent="0.25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6</v>
      </c>
      <c r="G1" s="1" t="s">
        <v>8</v>
      </c>
      <c r="H1" s="1" t="s">
        <v>4</v>
      </c>
      <c r="I1" s="1" t="s">
        <v>5</v>
      </c>
      <c r="J1" s="1" t="s">
        <v>9</v>
      </c>
      <c r="K1" s="1" t="s">
        <v>6</v>
      </c>
      <c r="P1" s="1" t="s">
        <v>0</v>
      </c>
      <c r="Q1" s="1" t="s">
        <v>12</v>
      </c>
      <c r="R1" s="1" t="s">
        <v>13</v>
      </c>
    </row>
    <row r="2" spans="1:18" x14ac:dyDescent="0.25">
      <c r="A2" s="1">
        <v>256</v>
      </c>
      <c r="B2" s="1">
        <v>64</v>
      </c>
      <c r="C2" s="1">
        <v>10</v>
      </c>
      <c r="D2" s="1">
        <v>9</v>
      </c>
      <c r="E2" s="1">
        <f>SUM(C2:D2)</f>
        <v>19</v>
      </c>
      <c r="F2" s="2">
        <f>(2*B2/$A$2)*(1.04*LOG(B2/2,2)+1)</f>
        <v>3.1</v>
      </c>
      <c r="G2" s="1">
        <f>(E2-F2)/E2</f>
        <v>0.83684210526315794</v>
      </c>
      <c r="H2" s="1">
        <v>7</v>
      </c>
      <c r="I2" s="1">
        <f>LOG(B2/2,$A$5)</f>
        <v>7.2021004520627816</v>
      </c>
      <c r="J2" s="1">
        <f>ROUNDUP(I2+LOG(SQRT(5),$A$5),0)-2</f>
        <v>7</v>
      </c>
      <c r="K2" s="1">
        <f>2*ROUNDUP(B2/$A$2,0)*($A$8*J2+1.5)</f>
        <v>13.130495168499705</v>
      </c>
      <c r="L2" s="1">
        <f>(E2-K2)/E2</f>
        <v>0.30892130692106817</v>
      </c>
      <c r="P2" s="1">
        <v>64</v>
      </c>
      <c r="Q2" s="1">
        <v>7</v>
      </c>
      <c r="R2" s="1">
        <f>ROUNDUP(Q2+LOG(SQRT(5),$A$5),0)-2</f>
        <v>7</v>
      </c>
    </row>
    <row r="3" spans="1:18" x14ac:dyDescent="0.25">
      <c r="A3" s="1"/>
      <c r="B3" s="1">
        <v>128</v>
      </c>
      <c r="C3" s="1">
        <v>12</v>
      </c>
      <c r="D3" s="1">
        <v>11</v>
      </c>
      <c r="E3" s="1">
        <f>SUM(C3:D3)</f>
        <v>23</v>
      </c>
      <c r="F3" s="2">
        <f t="shared" ref="F3:F16" si="0">(2*B3/$A$2)*(1.04*LOG(B3/2,2)+1)</f>
        <v>7.24</v>
      </c>
      <c r="G3" s="1">
        <f>(E3-F3)/E3</f>
        <v>0.68521739130434778</v>
      </c>
      <c r="H3" s="1">
        <v>9</v>
      </c>
      <c r="I3" s="1">
        <f t="shared" ref="I3:I16" si="1">LOG(B3/2,$A$5)</f>
        <v>8.6425205424753369</v>
      </c>
      <c r="J3" s="1">
        <f t="shared" ref="J3:J16" si="2">ROUNDUP(I3+LOG(SQRT(5),$A$5),0)-2</f>
        <v>9</v>
      </c>
      <c r="K3" s="1">
        <f t="shared" ref="K3:K16" si="3">2*ROUNDUP(B3/$A$2,0)*($A$8*J3+1.5)</f>
        <v>16.02492235949962</v>
      </c>
      <c r="L3" s="1">
        <f t="shared" ref="L3:L16" si="4">(E3-K3)/E3</f>
        <v>0.30326424523914697</v>
      </c>
      <c r="P3" s="1">
        <v>128</v>
      </c>
      <c r="Q3" s="1">
        <v>9</v>
      </c>
      <c r="R3" s="1">
        <f t="shared" ref="R3:R16" si="5">ROUNDUP(Q3+LOG(SQRT(5),$A$5),0)-2</f>
        <v>9</v>
      </c>
    </row>
    <row r="4" spans="1:18" x14ac:dyDescent="0.25">
      <c r="A4" s="1" t="s">
        <v>10</v>
      </c>
      <c r="B4" s="1">
        <v>256</v>
      </c>
      <c r="C4" s="1">
        <v>15</v>
      </c>
      <c r="D4" s="1">
        <v>12</v>
      </c>
      <c r="E4" s="1">
        <f t="shared" ref="E4:E16" si="6">SUM(C4:D4)</f>
        <v>27</v>
      </c>
      <c r="F4" s="2">
        <f t="shared" si="0"/>
        <v>16.560000000000002</v>
      </c>
      <c r="G4" s="1">
        <f>(E4-F4)/E4</f>
        <v>0.3866666666666666</v>
      </c>
      <c r="H4" s="1">
        <v>10</v>
      </c>
      <c r="I4" s="1">
        <f t="shared" si="1"/>
        <v>10.082940632887894</v>
      </c>
      <c r="J4" s="1">
        <f t="shared" si="2"/>
        <v>10</v>
      </c>
      <c r="K4" s="1">
        <f t="shared" si="3"/>
        <v>17.47213595499958</v>
      </c>
      <c r="L4" s="1">
        <f t="shared" si="4"/>
        <v>0.35288385351853407</v>
      </c>
      <c r="P4" s="1">
        <v>256</v>
      </c>
      <c r="Q4" s="1">
        <v>10</v>
      </c>
      <c r="R4" s="1">
        <f t="shared" si="5"/>
        <v>10</v>
      </c>
    </row>
    <row r="5" spans="1:18" x14ac:dyDescent="0.25">
      <c r="A5" s="1">
        <f>(1+SQRT(5))/2</f>
        <v>1.6180339887498949</v>
      </c>
      <c r="B5" s="1">
        <v>512</v>
      </c>
      <c r="C5" s="1">
        <v>31</v>
      </c>
      <c r="D5" s="1">
        <v>27</v>
      </c>
      <c r="E5" s="1">
        <f t="shared" si="6"/>
        <v>58</v>
      </c>
      <c r="F5" s="2">
        <f t="shared" si="0"/>
        <v>37.28</v>
      </c>
      <c r="G5" s="1">
        <f>(E5-F5)/E5</f>
        <v>0.35724137931034483</v>
      </c>
      <c r="H5" s="1">
        <v>12</v>
      </c>
      <c r="I5" s="1">
        <f t="shared" si="1"/>
        <v>11.523360723300451</v>
      </c>
      <c r="J5" s="1">
        <f t="shared" si="2"/>
        <v>12</v>
      </c>
      <c r="K5" s="1">
        <f t="shared" si="3"/>
        <v>40.733126291998985</v>
      </c>
      <c r="L5" s="1">
        <f t="shared" si="4"/>
        <v>0.29770471910346574</v>
      </c>
      <c r="P5" s="1">
        <v>512</v>
      </c>
      <c r="Q5" s="1">
        <v>12</v>
      </c>
      <c r="R5" s="1">
        <f t="shared" si="5"/>
        <v>12</v>
      </c>
    </row>
    <row r="6" spans="1:18" x14ac:dyDescent="0.25">
      <c r="B6" s="1">
        <v>1024</v>
      </c>
      <c r="C6" s="1">
        <v>53</v>
      </c>
      <c r="D6" s="1">
        <v>47</v>
      </c>
      <c r="E6" s="1">
        <f t="shared" si="6"/>
        <v>100</v>
      </c>
      <c r="F6" s="2">
        <f t="shared" si="0"/>
        <v>82.88</v>
      </c>
      <c r="G6" s="1">
        <f>(E6-F6)/E6</f>
        <v>0.17120000000000005</v>
      </c>
      <c r="H6" s="1">
        <v>13</v>
      </c>
      <c r="I6" s="1">
        <f t="shared" si="1"/>
        <v>12.963780813713008</v>
      </c>
      <c r="J6" s="1">
        <f t="shared" si="2"/>
        <v>13</v>
      </c>
      <c r="K6" s="1">
        <f t="shared" si="3"/>
        <v>87.255106965997811</v>
      </c>
      <c r="L6" s="1">
        <f t="shared" si="4"/>
        <v>0.12744893034002189</v>
      </c>
      <c r="P6" s="1">
        <v>1024</v>
      </c>
      <c r="Q6" s="1">
        <v>13</v>
      </c>
      <c r="R6" s="1">
        <f t="shared" si="5"/>
        <v>13</v>
      </c>
    </row>
    <row r="7" spans="1:18" x14ac:dyDescent="0.25">
      <c r="A7" s="1" t="s">
        <v>11</v>
      </c>
      <c r="B7" s="1">
        <v>2048</v>
      </c>
      <c r="C7" s="1">
        <v>112</v>
      </c>
      <c r="D7" s="1">
        <v>102</v>
      </c>
      <c r="E7" s="1">
        <f t="shared" si="6"/>
        <v>214</v>
      </c>
      <c r="F7" s="2">
        <f t="shared" si="0"/>
        <v>182.4</v>
      </c>
      <c r="G7" s="1">
        <f>(E7-F7)/E7</f>
        <v>0.14766355140186913</v>
      </c>
      <c r="H7" s="1">
        <v>15</v>
      </c>
      <c r="I7" s="1">
        <f t="shared" si="1"/>
        <v>14.404200904125563</v>
      </c>
      <c r="J7" s="1">
        <f t="shared" si="2"/>
        <v>15</v>
      </c>
      <c r="K7" s="1">
        <f t="shared" si="3"/>
        <v>197.66563145999496</v>
      </c>
      <c r="L7" s="1">
        <f t="shared" si="4"/>
        <v>7.6328824953294599E-2</v>
      </c>
      <c r="P7" s="1">
        <v>2048</v>
      </c>
      <c r="Q7" s="1">
        <v>15</v>
      </c>
      <c r="R7" s="1">
        <f t="shared" si="5"/>
        <v>15</v>
      </c>
    </row>
    <row r="8" spans="1:18" x14ac:dyDescent="0.25">
      <c r="A8" s="1">
        <f>(1+A5) / (1+A5*A5)</f>
        <v>0.72360679774997894</v>
      </c>
      <c r="B8" s="1">
        <v>4096</v>
      </c>
      <c r="C8" s="1">
        <v>231</v>
      </c>
      <c r="D8" s="1">
        <v>213</v>
      </c>
      <c r="E8" s="1">
        <f t="shared" si="6"/>
        <v>444</v>
      </c>
      <c r="F8" s="2">
        <f t="shared" si="0"/>
        <v>398.08000000000004</v>
      </c>
      <c r="G8" s="1">
        <f>(E8-F8)/E8</f>
        <v>0.10342342342342332</v>
      </c>
      <c r="H8" s="1">
        <v>16</v>
      </c>
      <c r="I8" s="1">
        <f t="shared" si="1"/>
        <v>15.84462099453812</v>
      </c>
      <c r="J8" s="1">
        <f t="shared" si="2"/>
        <v>16</v>
      </c>
      <c r="K8" s="1">
        <f t="shared" si="3"/>
        <v>418.48668044798922</v>
      </c>
      <c r="L8" s="1">
        <f t="shared" si="4"/>
        <v>5.7462431423447716E-2</v>
      </c>
      <c r="P8" s="1">
        <v>4096</v>
      </c>
      <c r="Q8" s="1">
        <v>16</v>
      </c>
      <c r="R8" s="1">
        <f t="shared" si="5"/>
        <v>16</v>
      </c>
    </row>
    <row r="9" spans="1:18" x14ac:dyDescent="0.25">
      <c r="B9" s="1">
        <v>8192</v>
      </c>
      <c r="C9" s="1">
        <v>480</v>
      </c>
      <c r="D9" s="1">
        <v>446</v>
      </c>
      <c r="E9" s="1">
        <f t="shared" si="6"/>
        <v>926</v>
      </c>
      <c r="F9" s="2">
        <f t="shared" si="0"/>
        <v>862.72</v>
      </c>
      <c r="G9" s="1">
        <f>(E9-F9)/E9</f>
        <v>6.8336933045356346E-2</v>
      </c>
      <c r="H9" s="1">
        <v>17</v>
      </c>
      <c r="I9" s="1">
        <f t="shared" si="1"/>
        <v>17.285041084950674</v>
      </c>
      <c r="J9" s="1">
        <f t="shared" si="2"/>
        <v>17</v>
      </c>
      <c r="K9" s="1">
        <f t="shared" si="3"/>
        <v>883.28419595197704</v>
      </c>
      <c r="L9" s="1">
        <f t="shared" si="4"/>
        <v>4.612937802162307E-2</v>
      </c>
      <c r="P9" s="1">
        <v>8192</v>
      </c>
      <c r="Q9" s="1">
        <v>17</v>
      </c>
      <c r="R9" s="1">
        <f t="shared" si="5"/>
        <v>17</v>
      </c>
    </row>
    <row r="10" spans="1:18" x14ac:dyDescent="0.25">
      <c r="B10" s="1">
        <f>8192*2</f>
        <v>16384</v>
      </c>
      <c r="C10" s="1">
        <v>1040</v>
      </c>
      <c r="D10" s="1">
        <v>974</v>
      </c>
      <c r="E10" s="1">
        <f t="shared" si="6"/>
        <v>2014</v>
      </c>
      <c r="F10" s="2">
        <f t="shared" si="0"/>
        <v>1858.56</v>
      </c>
      <c r="G10" s="1">
        <f>(E10-F10)/E10</f>
        <v>7.7179741807348587E-2</v>
      </c>
      <c r="H10" s="1">
        <v>19</v>
      </c>
      <c r="I10" s="1">
        <f t="shared" si="1"/>
        <v>18.725461175363233</v>
      </c>
      <c r="J10" s="1">
        <f t="shared" si="2"/>
        <v>19</v>
      </c>
      <c r="K10" s="1">
        <f t="shared" si="3"/>
        <v>1951.8117321279487</v>
      </c>
      <c r="L10" s="1">
        <f t="shared" si="4"/>
        <v>3.0877988019886424E-2</v>
      </c>
      <c r="P10" s="1">
        <f>8192*2</f>
        <v>16384</v>
      </c>
      <c r="Q10" s="1">
        <v>19</v>
      </c>
      <c r="R10" s="1">
        <f t="shared" si="5"/>
        <v>19</v>
      </c>
    </row>
    <row r="11" spans="1:18" x14ac:dyDescent="0.25">
      <c r="B11" s="1">
        <f>2*B10</f>
        <v>32768</v>
      </c>
      <c r="C11" s="1">
        <v>2158</v>
      </c>
      <c r="D11" s="1">
        <v>2028</v>
      </c>
      <c r="E11" s="1">
        <f t="shared" si="6"/>
        <v>4186</v>
      </c>
      <c r="F11" s="2">
        <f t="shared" si="0"/>
        <v>3983.36</v>
      </c>
      <c r="G11" s="1">
        <f>(E11-F11)/E11</f>
        <v>4.840898232202577E-2</v>
      </c>
      <c r="H11" s="1">
        <v>20</v>
      </c>
      <c r="I11" s="1">
        <f t="shared" si="1"/>
        <v>20.165881265775788</v>
      </c>
      <c r="J11" s="1">
        <f t="shared" si="2"/>
        <v>20</v>
      </c>
      <c r="K11" s="1">
        <f t="shared" si="3"/>
        <v>4088.8668044798924</v>
      </c>
      <c r="L11" s="1">
        <f t="shared" si="4"/>
        <v>2.3204298977569905E-2</v>
      </c>
      <c r="P11" s="1">
        <f>2*P10</f>
        <v>32768</v>
      </c>
      <c r="Q11" s="1">
        <v>20</v>
      </c>
      <c r="R11" s="1">
        <f t="shared" si="5"/>
        <v>20</v>
      </c>
    </row>
    <row r="12" spans="1:18" x14ac:dyDescent="0.25">
      <c r="B12" s="1">
        <f t="shared" ref="B12:B16" si="7">2*B11</f>
        <v>65536</v>
      </c>
      <c r="C12" s="1">
        <v>4666</v>
      </c>
      <c r="D12" s="1">
        <v>4408</v>
      </c>
      <c r="E12" s="1">
        <f t="shared" si="6"/>
        <v>9074</v>
      </c>
      <c r="F12" s="2">
        <f t="shared" si="0"/>
        <v>8499.2000000000007</v>
      </c>
      <c r="G12" s="1">
        <f>(E12-F12)/E12</f>
        <v>6.3345823231209977E-2</v>
      </c>
      <c r="H12" s="1">
        <v>22</v>
      </c>
      <c r="I12" s="1">
        <f t="shared" si="1"/>
        <v>21.606301356188347</v>
      </c>
      <c r="J12" s="1">
        <f t="shared" si="2"/>
        <v>22</v>
      </c>
      <c r="K12" s="1">
        <f t="shared" si="3"/>
        <v>8918.7069698557625</v>
      </c>
      <c r="L12" s="1">
        <f t="shared" si="4"/>
        <v>1.7114065477654563E-2</v>
      </c>
      <c r="P12" s="1">
        <f t="shared" ref="P12:P15" si="8">2*P11</f>
        <v>65536</v>
      </c>
      <c r="Q12" s="1">
        <v>22</v>
      </c>
      <c r="R12" s="1">
        <f t="shared" si="5"/>
        <v>22</v>
      </c>
    </row>
    <row r="13" spans="1:18" x14ac:dyDescent="0.25">
      <c r="B13" s="1">
        <f t="shared" si="7"/>
        <v>131072</v>
      </c>
      <c r="C13" s="1">
        <v>9714</v>
      </c>
      <c r="D13" s="1">
        <v>9200</v>
      </c>
      <c r="E13" s="1">
        <f t="shared" si="6"/>
        <v>18914</v>
      </c>
      <c r="F13" s="2">
        <f t="shared" si="0"/>
        <v>18063.36</v>
      </c>
      <c r="G13" s="1">
        <f>(E13-F13)/E13</f>
        <v>4.4974093264248671E-2</v>
      </c>
      <c r="H13" s="1">
        <v>23</v>
      </c>
      <c r="I13" s="1">
        <f t="shared" si="1"/>
        <v>23.046721446600902</v>
      </c>
      <c r="J13" s="1">
        <f t="shared" si="2"/>
        <v>23</v>
      </c>
      <c r="K13" s="1">
        <f t="shared" si="3"/>
        <v>18578.387300607505</v>
      </c>
      <c r="L13" s="1">
        <f t="shared" si="4"/>
        <v>1.7744141873347542E-2</v>
      </c>
      <c r="P13" s="1">
        <f t="shared" si="8"/>
        <v>131072</v>
      </c>
      <c r="Q13" s="1">
        <v>23</v>
      </c>
      <c r="R13" s="1">
        <f t="shared" si="5"/>
        <v>23</v>
      </c>
    </row>
    <row r="14" spans="1:18" x14ac:dyDescent="0.25">
      <c r="B14" s="1">
        <f t="shared" si="7"/>
        <v>262144</v>
      </c>
      <c r="C14" s="1">
        <v>20830</v>
      </c>
      <c r="D14" s="1">
        <v>19804</v>
      </c>
      <c r="E14" s="1">
        <f>SUM(C14:D14)</f>
        <v>40634</v>
      </c>
      <c r="F14" s="2">
        <f t="shared" si="0"/>
        <v>38256.639999999999</v>
      </c>
      <c r="G14" s="1">
        <f>(E14-F14)/E14</f>
        <v>5.8506669291726154E-2</v>
      </c>
      <c r="H14" s="1">
        <v>25</v>
      </c>
      <c r="I14" s="1">
        <f t="shared" si="1"/>
        <v>24.487141537013457</v>
      </c>
      <c r="J14" s="1">
        <f t="shared" si="2"/>
        <v>25</v>
      </c>
      <c r="K14" s="1">
        <f t="shared" si="3"/>
        <v>40120.66804479892</v>
      </c>
      <c r="L14" s="1">
        <f t="shared" si="4"/>
        <v>1.2633064802901014E-2</v>
      </c>
      <c r="P14" s="1">
        <f t="shared" si="8"/>
        <v>262144</v>
      </c>
      <c r="Q14" s="1">
        <v>25</v>
      </c>
      <c r="R14" s="1">
        <f t="shared" si="5"/>
        <v>25</v>
      </c>
    </row>
    <row r="15" spans="1:18" x14ac:dyDescent="0.25">
      <c r="B15" s="1">
        <f t="shared" si="7"/>
        <v>524288</v>
      </c>
      <c r="C15" s="1">
        <v>43258</v>
      </c>
      <c r="D15" s="1">
        <v>41208</v>
      </c>
      <c r="E15" s="1">
        <f t="shared" si="6"/>
        <v>84466</v>
      </c>
      <c r="F15" s="2">
        <f t="shared" si="0"/>
        <v>80773.119999999995</v>
      </c>
      <c r="G15" s="1">
        <f>(E15-F15)/E15</f>
        <v>4.3720313498922699E-2</v>
      </c>
      <c r="H15" s="1">
        <v>26</v>
      </c>
      <c r="I15" s="1">
        <f t="shared" si="1"/>
        <v>25.927561627426016</v>
      </c>
      <c r="J15" s="1">
        <f t="shared" si="2"/>
        <v>26</v>
      </c>
      <c r="K15" s="1">
        <f t="shared" si="3"/>
        <v>83205.229533181759</v>
      </c>
      <c r="L15" s="1">
        <f t="shared" si="4"/>
        <v>1.4926366429311692E-2</v>
      </c>
      <c r="P15" s="1">
        <f t="shared" si="8"/>
        <v>524288</v>
      </c>
      <c r="Q15" s="1">
        <v>26</v>
      </c>
      <c r="R15" s="1">
        <f t="shared" si="5"/>
        <v>26</v>
      </c>
    </row>
    <row r="16" spans="1:18" x14ac:dyDescent="0.25">
      <c r="B16" s="1">
        <f>2*B15</f>
        <v>1048576</v>
      </c>
      <c r="C16" s="1">
        <v>91833</v>
      </c>
      <c r="D16" s="1">
        <v>87785</v>
      </c>
      <c r="E16" s="1">
        <f t="shared" si="6"/>
        <v>179618</v>
      </c>
      <c r="F16" s="2">
        <f t="shared" si="0"/>
        <v>170065.92000000001</v>
      </c>
      <c r="G16" s="1">
        <f>(E16-F16)/E16</f>
        <v>5.3179970826977181E-2</v>
      </c>
      <c r="H16" s="1">
        <v>28</v>
      </c>
      <c r="I16" s="1">
        <f t="shared" si="1"/>
        <v>27.367981717838571</v>
      </c>
      <c r="J16" s="1">
        <f t="shared" si="2"/>
        <v>28</v>
      </c>
      <c r="K16" s="1">
        <f t="shared" si="3"/>
        <v>178266.03284069916</v>
      </c>
      <c r="L16" s="1">
        <f t="shared" si="4"/>
        <v>7.5269024223676853E-3</v>
      </c>
      <c r="P16" s="1">
        <f>2*P15</f>
        <v>1048576</v>
      </c>
      <c r="Q16" s="1">
        <v>28</v>
      </c>
      <c r="R16" s="1">
        <f t="shared" si="5"/>
        <v>28</v>
      </c>
    </row>
    <row r="19" spans="16:21" x14ac:dyDescent="0.25">
      <c r="P19" s="1" t="s">
        <v>0</v>
      </c>
      <c r="Q19" s="1" t="s">
        <v>1</v>
      </c>
      <c r="R19" s="1" t="s">
        <v>2</v>
      </c>
      <c r="S19" s="1" t="s">
        <v>3</v>
      </c>
      <c r="T19" s="1" t="s">
        <v>6</v>
      </c>
      <c r="U19" s="1" t="s">
        <v>8</v>
      </c>
    </row>
    <row r="20" spans="16:21" x14ac:dyDescent="0.25">
      <c r="P20" s="3">
        <v>64</v>
      </c>
      <c r="Q20" s="3">
        <v>10</v>
      </c>
      <c r="R20" s="3">
        <v>9</v>
      </c>
      <c r="S20" s="3">
        <f>SUM(Q20:R20)</f>
        <v>19</v>
      </c>
      <c r="T20" s="4">
        <f>K2</f>
        <v>13.130495168499705</v>
      </c>
      <c r="U20" s="5">
        <f>(MAX(S20:T20)-MIN(S20:T20))/T20</f>
        <v>0.44701321284374285</v>
      </c>
    </row>
    <row r="21" spans="16:21" x14ac:dyDescent="0.25">
      <c r="P21" s="3">
        <v>128</v>
      </c>
      <c r="Q21" s="3">
        <v>12</v>
      </c>
      <c r="R21" s="3">
        <v>11</v>
      </c>
      <c r="S21" s="3">
        <f>SUM(Q21:R21)</f>
        <v>23</v>
      </c>
      <c r="T21" s="4">
        <f t="shared" ref="T21:T34" si="9">K3</f>
        <v>16.02492235949962</v>
      </c>
      <c r="U21" s="5">
        <f t="shared" ref="U21:U34" si="10">(MAX(S21:T21)-MIN(S21:T21))/T21</f>
        <v>0.43526436409631242</v>
      </c>
    </row>
    <row r="22" spans="16:21" x14ac:dyDescent="0.25">
      <c r="P22" s="3">
        <v>256</v>
      </c>
      <c r="Q22" s="3">
        <v>15</v>
      </c>
      <c r="R22" s="3">
        <v>12</v>
      </c>
      <c r="S22" s="3">
        <f t="shared" ref="S22:S34" si="11">SUM(Q22:R22)</f>
        <v>27</v>
      </c>
      <c r="T22" s="4">
        <f t="shared" si="9"/>
        <v>17.47213595499958</v>
      </c>
      <c r="U22" s="5">
        <f t="shared" si="10"/>
        <v>0.54531764573833119</v>
      </c>
    </row>
    <row r="23" spans="16:21" x14ac:dyDescent="0.25">
      <c r="P23" s="3">
        <v>512</v>
      </c>
      <c r="Q23" s="3">
        <v>31</v>
      </c>
      <c r="R23" s="3">
        <v>27</v>
      </c>
      <c r="S23" s="3">
        <f t="shared" si="11"/>
        <v>58</v>
      </c>
      <c r="T23" s="4">
        <f t="shared" si="9"/>
        <v>40.733126291998985</v>
      </c>
      <c r="U23" s="5">
        <f t="shared" si="10"/>
        <v>0.42390249116215428</v>
      </c>
    </row>
    <row r="24" spans="16:21" x14ac:dyDescent="0.25">
      <c r="P24" s="3">
        <v>1024</v>
      </c>
      <c r="Q24" s="3">
        <v>53</v>
      </c>
      <c r="R24" s="3">
        <v>47</v>
      </c>
      <c r="S24" s="3">
        <f t="shared" si="11"/>
        <v>100</v>
      </c>
      <c r="T24" s="4">
        <f t="shared" si="9"/>
        <v>87.255106965997811</v>
      </c>
      <c r="U24" s="5">
        <f t="shared" si="10"/>
        <v>0.1460647230536169</v>
      </c>
    </row>
    <row r="25" spans="16:21" x14ac:dyDescent="0.25">
      <c r="P25" s="3">
        <v>2048</v>
      </c>
      <c r="Q25" s="3">
        <v>112</v>
      </c>
      <c r="R25" s="3">
        <v>102</v>
      </c>
      <c r="S25" s="3">
        <f t="shared" si="11"/>
        <v>214</v>
      </c>
      <c r="T25" s="4">
        <f t="shared" si="9"/>
        <v>197.66563145999496</v>
      </c>
      <c r="U25" s="5">
        <f t="shared" si="10"/>
        <v>8.2636361310544346E-2</v>
      </c>
    </row>
    <row r="26" spans="16:21" x14ac:dyDescent="0.25">
      <c r="P26" s="3">
        <v>4096</v>
      </c>
      <c r="Q26" s="3">
        <v>231</v>
      </c>
      <c r="R26" s="3">
        <v>213</v>
      </c>
      <c r="S26" s="3">
        <f t="shared" si="11"/>
        <v>444</v>
      </c>
      <c r="T26" s="4">
        <f t="shared" si="9"/>
        <v>418.48668044798922</v>
      </c>
      <c r="U26" s="5">
        <f t="shared" si="10"/>
        <v>6.0965666875463807E-2</v>
      </c>
    </row>
    <row r="27" spans="16:21" x14ac:dyDescent="0.25">
      <c r="P27" s="3">
        <v>8192</v>
      </c>
      <c r="Q27" s="3">
        <v>480</v>
      </c>
      <c r="R27" s="3">
        <v>446</v>
      </c>
      <c r="S27" s="3">
        <f t="shared" si="11"/>
        <v>926</v>
      </c>
      <c r="T27" s="4">
        <f t="shared" si="9"/>
        <v>883.28419595197704</v>
      </c>
      <c r="U27" s="5">
        <f t="shared" si="10"/>
        <v>4.836020416054785E-2</v>
      </c>
    </row>
    <row r="28" spans="16:21" x14ac:dyDescent="0.25">
      <c r="P28" s="3">
        <f>8192*2</f>
        <v>16384</v>
      </c>
      <c r="Q28" s="3">
        <v>1040</v>
      </c>
      <c r="R28" s="3">
        <v>974</v>
      </c>
      <c r="S28" s="3">
        <f t="shared" si="11"/>
        <v>2014</v>
      </c>
      <c r="T28" s="4">
        <f t="shared" si="9"/>
        <v>1951.8117321279487</v>
      </c>
      <c r="U28" s="5">
        <f t="shared" si="10"/>
        <v>3.1861816817880764E-2</v>
      </c>
    </row>
    <row r="29" spans="16:21" x14ac:dyDescent="0.25">
      <c r="P29" s="3">
        <f>2*P28</f>
        <v>32768</v>
      </c>
      <c r="Q29" s="3">
        <v>2158</v>
      </c>
      <c r="R29" s="3">
        <v>2028</v>
      </c>
      <c r="S29" s="3">
        <f t="shared" si="11"/>
        <v>4186</v>
      </c>
      <c r="T29" s="4">
        <f t="shared" si="9"/>
        <v>4088.8668044798924</v>
      </c>
      <c r="U29" s="5">
        <f t="shared" si="10"/>
        <v>2.3755529383761145E-2</v>
      </c>
    </row>
    <row r="30" spans="16:21" x14ac:dyDescent="0.25">
      <c r="P30" s="3">
        <f t="shared" ref="P30:P33" si="12">2*P29</f>
        <v>65536</v>
      </c>
      <c r="Q30" s="3">
        <v>4666</v>
      </c>
      <c r="R30" s="3">
        <v>4408</v>
      </c>
      <c r="S30" s="3">
        <f t="shared" si="11"/>
        <v>9074</v>
      </c>
      <c r="T30" s="4">
        <f t="shared" si="9"/>
        <v>8918.7069698557625</v>
      </c>
      <c r="U30" s="5">
        <f t="shared" si="10"/>
        <v>1.741205655361373E-2</v>
      </c>
    </row>
    <row r="31" spans="16:21" x14ac:dyDescent="0.25">
      <c r="P31" s="3">
        <f t="shared" si="12"/>
        <v>131072</v>
      </c>
      <c r="Q31" s="3">
        <v>9714</v>
      </c>
      <c r="R31" s="3">
        <v>9200</v>
      </c>
      <c r="S31" s="3">
        <f t="shared" si="11"/>
        <v>18914</v>
      </c>
      <c r="T31" s="4">
        <f t="shared" si="9"/>
        <v>18578.387300607505</v>
      </c>
      <c r="U31" s="5">
        <f t="shared" si="10"/>
        <v>1.8064684192557502E-2</v>
      </c>
    </row>
    <row r="32" spans="16:21" x14ac:dyDescent="0.25">
      <c r="P32" s="3">
        <f t="shared" si="12"/>
        <v>262144</v>
      </c>
      <c r="Q32" s="3">
        <v>20830</v>
      </c>
      <c r="R32" s="3">
        <v>19804</v>
      </c>
      <c r="S32" s="3">
        <f>SUM(Q32:R32)</f>
        <v>40634</v>
      </c>
      <c r="T32" s="4">
        <f t="shared" si="9"/>
        <v>40120.66804479892</v>
      </c>
      <c r="U32" s="5">
        <f t="shared" si="10"/>
        <v>1.279470109091631E-2</v>
      </c>
    </row>
    <row r="33" spans="16:21" x14ac:dyDescent="0.25">
      <c r="P33" s="3">
        <f t="shared" si="12"/>
        <v>524288</v>
      </c>
      <c r="Q33" s="3">
        <v>43258</v>
      </c>
      <c r="R33" s="3">
        <v>41208</v>
      </c>
      <c r="S33" s="3">
        <f t="shared" si="11"/>
        <v>84466</v>
      </c>
      <c r="T33" s="4">
        <f t="shared" si="9"/>
        <v>83205.229533181759</v>
      </c>
      <c r="U33" s="5">
        <f t="shared" si="10"/>
        <v>1.5152538775407783E-2</v>
      </c>
    </row>
    <row r="34" spans="16:21" x14ac:dyDescent="0.25">
      <c r="P34" s="3">
        <f>2*P33</f>
        <v>1048576</v>
      </c>
      <c r="Q34" s="3">
        <v>91833</v>
      </c>
      <c r="R34" s="3">
        <v>87785</v>
      </c>
      <c r="S34" s="3">
        <f t="shared" si="11"/>
        <v>179618</v>
      </c>
      <c r="T34" s="4">
        <f t="shared" si="9"/>
        <v>178266.03284069916</v>
      </c>
      <c r="U34" s="5">
        <f t="shared" si="10"/>
        <v>7.5839863475784764E-3</v>
      </c>
    </row>
  </sheetData>
  <pageMargins left="0.7" right="0.7" top="0.75" bottom="0.75" header="0.3" footer="0.3"/>
  <pageSetup paperSize="9" orientation="portrait" r:id="rId1"/>
  <ignoredErrors>
    <ignoredError sqref="E2:E9 S20:S27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Kacper Grzelakowski</dc:creator>
  <cp:lastModifiedBy>Kacper Grzelakowski</cp:lastModifiedBy>
  <dcterms:created xsi:type="dcterms:W3CDTF">2025-11-08T19:31:38Z</dcterms:created>
  <dcterms:modified xsi:type="dcterms:W3CDTF">2025-11-13T14:20:15Z</dcterms:modified>
</cp:coreProperties>
</file>