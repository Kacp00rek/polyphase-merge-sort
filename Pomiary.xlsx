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eea4af91086274/Pulpit/SBD/P1/"/>
    </mc:Choice>
  </mc:AlternateContent>
  <xr:revisionPtr revIDLastSave="0" documentId="8_{2FCF4A24-72F7-4805-86B8-F02B7F7B739A}" xr6:coauthVersionLast="47" xr6:coauthVersionMax="47" xr10:uidLastSave="{00000000-0000-0000-0000-000000000000}"/>
  <bookViews>
    <workbookView xWindow="-108" yWindow="-108" windowWidth="23256" windowHeight="12456" xr2:uid="{63E0899F-1F7B-41C1-81BE-D2DEB1B2E785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G9" i="1" s="1"/>
  <c r="I9" i="1" s="1"/>
  <c r="K10" i="1"/>
  <c r="G10" i="1" s="1"/>
  <c r="I10" i="1" s="1"/>
  <c r="K11" i="1"/>
  <c r="K12" i="1"/>
  <c r="G12" i="1" s="1"/>
  <c r="K13" i="1"/>
  <c r="G13" i="1" s="1"/>
  <c r="I13" i="1" s="1"/>
  <c r="K14" i="1"/>
  <c r="K15" i="1"/>
  <c r="K16" i="1"/>
  <c r="K2" i="1"/>
  <c r="G2" i="1"/>
  <c r="I2" i="1" s="1"/>
  <c r="G3" i="1"/>
  <c r="I3" i="1" s="1"/>
  <c r="B12" i="1"/>
  <c r="B13" i="1"/>
  <c r="B14" i="1" s="1"/>
  <c r="B11" i="1"/>
  <c r="B10" i="1"/>
  <c r="G4" i="1"/>
  <c r="I4" i="1" s="1"/>
  <c r="G5" i="1"/>
  <c r="I5" i="1" s="1"/>
  <c r="G6" i="1"/>
  <c r="I6" i="1" s="1"/>
  <c r="G7" i="1"/>
  <c r="I7" i="1" s="1"/>
  <c r="G8" i="1"/>
  <c r="I8" i="1" s="1"/>
  <c r="G11" i="1"/>
  <c r="F2" i="1"/>
  <c r="F3" i="1"/>
  <c r="F4" i="1"/>
  <c r="F5" i="1"/>
  <c r="F6" i="1"/>
  <c r="F7" i="1"/>
  <c r="F8" i="1"/>
  <c r="F9" i="1"/>
  <c r="F10" i="1"/>
  <c r="H10" i="1" s="1"/>
  <c r="F11" i="1"/>
  <c r="F12" i="1"/>
  <c r="F13" i="1"/>
  <c r="H5" i="1"/>
  <c r="E4" i="1"/>
  <c r="E5" i="1"/>
  <c r="E6" i="1"/>
  <c r="H6" i="1" s="1"/>
  <c r="E7" i="1"/>
  <c r="H7" i="1" s="1"/>
  <c r="E8" i="1"/>
  <c r="E9" i="1"/>
  <c r="E10" i="1"/>
  <c r="E11" i="1"/>
  <c r="H11" i="1" s="1"/>
  <c r="E12" i="1"/>
  <c r="E13" i="1"/>
  <c r="E14" i="1"/>
  <c r="E15" i="1"/>
  <c r="E16" i="1"/>
  <c r="E3" i="1"/>
  <c r="H3" i="1" s="1"/>
  <c r="E2" i="1"/>
  <c r="H2" i="1" s="1"/>
  <c r="I12" i="1" l="1"/>
  <c r="I11" i="1"/>
  <c r="B15" i="1"/>
  <c r="F14" i="1"/>
  <c r="G14" i="1"/>
  <c r="I14" i="1" s="1"/>
  <c r="H12" i="1"/>
  <c r="H14" i="1"/>
  <c r="H13" i="1"/>
  <c r="H4" i="1"/>
  <c r="H9" i="1"/>
  <c r="H8" i="1"/>
  <c r="G15" i="1" l="1"/>
  <c r="I15" i="1" s="1"/>
  <c r="F15" i="1"/>
  <c r="H15" i="1" s="1"/>
  <c r="B16" i="1"/>
  <c r="F16" i="1" l="1"/>
  <c r="H16" i="1" s="1"/>
  <c r="G16" i="1"/>
  <c r="I16" i="1" s="1"/>
</calcChain>
</file>

<file path=xl/sharedStrings.xml><?xml version="1.0" encoding="utf-8"?>
<sst xmlns="http://schemas.openxmlformats.org/spreadsheetml/2006/main" count="11" uniqueCount="11">
  <si>
    <t>N</t>
  </si>
  <si>
    <t>R</t>
  </si>
  <si>
    <t>W</t>
  </si>
  <si>
    <t>R+W</t>
  </si>
  <si>
    <t>Fazy</t>
  </si>
  <si>
    <t>Fazy (teor.)</t>
  </si>
  <si>
    <t>R+W (teor.)</t>
  </si>
  <si>
    <t>b</t>
  </si>
  <si>
    <t>Błąd</t>
  </si>
  <si>
    <t>R+W (teor.2)</t>
  </si>
  <si>
    <t>Błąd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</si>
</sst>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_z_ł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Arkusz1!$E$1</c:f>
              <c:strCache>
                <c:ptCount val="1"/>
                <c:pt idx="0">
                  <c:v>R+W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Arkusz1!$B$2:$B$16</c:f>
              <c:numCache>
                <c:formatCode>General</c:formatCode>
                <c:ptCount val="15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  <c:pt idx="7">
                  <c:v>8192</c:v>
                </c:pt>
                <c:pt idx="8">
                  <c:v>16384</c:v>
                </c:pt>
                <c:pt idx="9">
                  <c:v>32768</c:v>
                </c:pt>
                <c:pt idx="10">
                  <c:v>65536</c:v>
                </c:pt>
                <c:pt idx="11">
                  <c:v>131072</c:v>
                </c:pt>
                <c:pt idx="12">
                  <c:v>262144</c:v>
                </c:pt>
                <c:pt idx="13">
                  <c:v>524288</c:v>
                </c:pt>
                <c:pt idx="14">
                  <c:v>1048576</c:v>
                </c:pt>
              </c:numCache>
            </c:numRef>
          </c:xVal>
          <c:yVal>
            <c:numRef>
              <c:f>Arkusz1!$E$2:$E$16</c:f>
              <c:numCache>
                <c:formatCode>General</c:formatCode>
                <c:ptCount val="15"/>
                <c:pt idx="0">
                  <c:v>19</c:v>
                </c:pt>
                <c:pt idx="1">
                  <c:v>25</c:v>
                </c:pt>
                <c:pt idx="2">
                  <c:v>27</c:v>
                </c:pt>
                <c:pt idx="3">
                  <c:v>63</c:v>
                </c:pt>
                <c:pt idx="4">
                  <c:v>100</c:v>
                </c:pt>
                <c:pt idx="5">
                  <c:v>231</c:v>
                </c:pt>
                <c:pt idx="6">
                  <c:v>446</c:v>
                </c:pt>
                <c:pt idx="7">
                  <c:v>985</c:v>
                </c:pt>
                <c:pt idx="8">
                  <c:v>2014</c:v>
                </c:pt>
                <c:pt idx="9">
                  <c:v>4439</c:v>
                </c:pt>
                <c:pt idx="10">
                  <c:v>9078</c:v>
                </c:pt>
                <c:pt idx="11">
                  <c:v>19929</c:v>
                </c:pt>
                <c:pt idx="12">
                  <c:v>40630</c:v>
                </c:pt>
                <c:pt idx="13">
                  <c:v>88565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1-4BF8-B8EA-A2664AB7A7E5}"/>
            </c:ext>
          </c:extLst>
        </c:ser>
        <c:ser>
          <c:idx val="1"/>
          <c:order val="1"/>
          <c:tx>
            <c:strRef>
              <c:f>Arkusz1!$F$1</c:f>
              <c:strCache>
                <c:ptCount val="1"/>
                <c:pt idx="0">
                  <c:v>R+W (teor.)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Arkusz1!$B$2:$B$16</c:f>
              <c:numCache>
                <c:formatCode>General</c:formatCode>
                <c:ptCount val="15"/>
                <c:pt idx="0">
                  <c:v>64</c:v>
                </c:pt>
                <c:pt idx="1">
                  <c:v>128</c:v>
                </c:pt>
                <c:pt idx="2">
                  <c:v>256</c:v>
                </c:pt>
                <c:pt idx="3">
                  <c:v>512</c:v>
                </c:pt>
                <c:pt idx="4">
                  <c:v>1024</c:v>
                </c:pt>
                <c:pt idx="5">
                  <c:v>2048</c:v>
                </c:pt>
                <c:pt idx="6">
                  <c:v>4096</c:v>
                </c:pt>
                <c:pt idx="7">
                  <c:v>8192</c:v>
                </c:pt>
                <c:pt idx="8">
                  <c:v>16384</c:v>
                </c:pt>
                <c:pt idx="9">
                  <c:v>32768</c:v>
                </c:pt>
                <c:pt idx="10">
                  <c:v>65536</c:v>
                </c:pt>
                <c:pt idx="11">
                  <c:v>131072</c:v>
                </c:pt>
                <c:pt idx="12">
                  <c:v>262144</c:v>
                </c:pt>
                <c:pt idx="13">
                  <c:v>524288</c:v>
                </c:pt>
                <c:pt idx="14">
                  <c:v>1048576</c:v>
                </c:pt>
              </c:numCache>
            </c:numRef>
          </c:xVal>
          <c:yVal>
            <c:numRef>
              <c:f>Arkusz1!$F$2:$F$16</c:f>
              <c:numCache>
                <c:formatCode>#\ ##0.00\ _z_ł</c:formatCode>
                <c:ptCount val="15"/>
                <c:pt idx="0">
                  <c:v>3.1</c:v>
                </c:pt>
                <c:pt idx="1">
                  <c:v>7.24</c:v>
                </c:pt>
                <c:pt idx="2">
                  <c:v>16.560000000000002</c:v>
                </c:pt>
                <c:pt idx="3">
                  <c:v>37.28</c:v>
                </c:pt>
                <c:pt idx="4">
                  <c:v>82.88</c:v>
                </c:pt>
                <c:pt idx="5">
                  <c:v>182.4</c:v>
                </c:pt>
                <c:pt idx="6">
                  <c:v>398.08000000000004</c:v>
                </c:pt>
                <c:pt idx="7">
                  <c:v>862.72</c:v>
                </c:pt>
                <c:pt idx="8">
                  <c:v>1858.56</c:v>
                </c:pt>
                <c:pt idx="9">
                  <c:v>3983.36</c:v>
                </c:pt>
                <c:pt idx="10">
                  <c:v>8499.2000000000007</c:v>
                </c:pt>
                <c:pt idx="11">
                  <c:v>18063.36</c:v>
                </c:pt>
                <c:pt idx="12">
                  <c:v>38256.639999999999</c:v>
                </c:pt>
                <c:pt idx="13">
                  <c:v>80773.119999999995</c:v>
                </c:pt>
                <c:pt idx="14">
                  <c:v>170065.92000000001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D71-4BF8-B8EA-A2664AB7A7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195231"/>
        <c:axId val="1043196191"/>
      </c:scatterChart>
      <c:valAx>
        <c:axId val="1043195231"/>
        <c:scaling>
          <c:logBase val="2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3196191"/>
        <c:crosses val="autoZero"/>
        <c:crossBetween val="midCat"/>
      </c:valAx>
      <c:valAx>
        <c:axId val="10431961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0431952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19</xdr:row>
      <xdr:rowOff>118110</xdr:rowOff>
    </xdr:from>
    <xdr:to>
      <xdr:col>12</xdr:col>
      <xdr:colOff>563880</xdr:colOff>
      <xdr:row>46</xdr:row>
      <xdr:rowOff>99060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BA144038-C847-A965-2DDE-7BAC491937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ACBD2-E050-4C25-B7F3-B372F54F54CB}">
  <dimension ref="A1:K16"/>
  <sheetViews>
    <sheetView tabSelected="1" zoomScale="130" zoomScaleNormal="130" workbookViewId="0">
      <selection activeCell="I8" sqref="I8"/>
    </sheetView>
  </sheetViews>
  <sheetFormatPr defaultRowHeight="14.4" x14ac:dyDescent="0.3"/>
  <cols>
    <col min="2" max="5" width="8.88671875" style="1"/>
    <col min="6" max="6" width="12.88671875" style="2" customWidth="1"/>
    <col min="7" max="7" width="13.44140625" style="2" customWidth="1"/>
    <col min="8" max="8" width="13" style="1" customWidth="1"/>
  </cols>
  <sheetData>
    <row r="1" spans="1:11" x14ac:dyDescent="0.3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2" t="s">
        <v>6</v>
      </c>
      <c r="G1" s="2" t="s">
        <v>9</v>
      </c>
      <c r="H1" s="1" t="s">
        <v>8</v>
      </c>
      <c r="I1" s="1" t="s">
        <v>10</v>
      </c>
      <c r="J1" s="1" t="s">
        <v>4</v>
      </c>
      <c r="K1" s="1" t="s">
        <v>5</v>
      </c>
    </row>
    <row r="2" spans="1:11" x14ac:dyDescent="0.3">
      <c r="A2" s="1">
        <v>256</v>
      </c>
      <c r="B2" s="1">
        <v>64</v>
      </c>
      <c r="C2" s="1">
        <v>10</v>
      </c>
      <c r="D2" s="1">
        <v>9</v>
      </c>
      <c r="E2" s="1">
        <f>SUM(C2:D2)</f>
        <v>19</v>
      </c>
      <c r="F2" s="2">
        <f>(2*B2/$A$2)*(1.04*LOG(B2/2,2)+1)</f>
        <v>3.1</v>
      </c>
      <c r="G2" s="2">
        <f>(2*B2/$A$2)*(1.04*LOG(B2/2,2)+1.5+IF(MOD(ROUND(K2,0)-1,3)=0,0,1))</f>
        <v>3.35</v>
      </c>
      <c r="H2" s="1">
        <f>(E2-F2)/E2</f>
        <v>0.83684210526315794</v>
      </c>
      <c r="I2" s="1">
        <f>(E2-G2)/E2</f>
        <v>0.8236842105263158</v>
      </c>
      <c r="J2" s="1">
        <v>7</v>
      </c>
      <c r="K2" s="1">
        <f>1.44*LOG(B2/2,2)</f>
        <v>7.1999999999999993</v>
      </c>
    </row>
    <row r="3" spans="1:11" x14ac:dyDescent="0.3">
      <c r="B3" s="1">
        <v>128</v>
      </c>
      <c r="C3" s="1">
        <v>13</v>
      </c>
      <c r="D3" s="1">
        <v>12</v>
      </c>
      <c r="E3" s="1">
        <f>SUM(C3:D3)</f>
        <v>25</v>
      </c>
      <c r="F3" s="2">
        <f t="shared" ref="F3:F16" si="0">(2*B3/$A$2)*(1.04*LOG(B3/2,2)+1)</f>
        <v>7.24</v>
      </c>
      <c r="G3" s="2">
        <f>(2*B3/$A$2)*(1.04*LOG(B3/2,2)+1.5+IF(MOD(ROUND(K3,0)-1,3)=0,0,1))</f>
        <v>8.74</v>
      </c>
      <c r="H3" s="1">
        <f>(E3-F3)/E3</f>
        <v>0.71039999999999992</v>
      </c>
      <c r="I3" s="1">
        <f t="shared" ref="I3:I16" si="1">(E3-G3)/E3</f>
        <v>0.65039999999999987</v>
      </c>
      <c r="J3" s="1">
        <v>9</v>
      </c>
      <c r="K3" s="1">
        <f t="shared" ref="K3:K16" si="2">1.44*LOG(B3/2,2)</f>
        <v>8.64</v>
      </c>
    </row>
    <row r="4" spans="1:11" x14ac:dyDescent="0.3">
      <c r="B4" s="1">
        <v>256</v>
      </c>
      <c r="C4" s="1">
        <v>15</v>
      </c>
      <c r="D4" s="1">
        <v>12</v>
      </c>
      <c r="E4" s="1">
        <f t="shared" ref="E4:E16" si="3">SUM(C4:D4)</f>
        <v>27</v>
      </c>
      <c r="F4" s="2">
        <f t="shared" si="0"/>
        <v>16.560000000000002</v>
      </c>
      <c r="G4" s="2">
        <f>(2*B4/$A$2)*(1.04*LOG(B4/2,2)+1.5+IF(MOD(ROUND(K4,0)-1,3)=0,0,1))</f>
        <v>17.560000000000002</v>
      </c>
      <c r="H4" s="1">
        <f>(E4-F4)/E4</f>
        <v>0.3866666666666666</v>
      </c>
      <c r="I4" s="1">
        <f t="shared" si="1"/>
        <v>0.34962962962962957</v>
      </c>
      <c r="J4" s="1">
        <v>10</v>
      </c>
      <c r="K4" s="1">
        <f t="shared" si="2"/>
        <v>10.08</v>
      </c>
    </row>
    <row r="5" spans="1:11" x14ac:dyDescent="0.3">
      <c r="B5" s="1">
        <v>512</v>
      </c>
      <c r="C5" s="1">
        <v>34</v>
      </c>
      <c r="D5" s="1">
        <v>29</v>
      </c>
      <c r="E5" s="1">
        <f t="shared" si="3"/>
        <v>63</v>
      </c>
      <c r="F5" s="2">
        <f t="shared" si="0"/>
        <v>37.28</v>
      </c>
      <c r="G5" s="2">
        <f>(2*B5/$A$2)*(1.04*LOG(B5/2,2)+1.5+IF(MOD(ROUND(K5,0)-1,3)=0,0,1))</f>
        <v>43.28</v>
      </c>
      <c r="H5" s="1">
        <f>(E5-F5)/E5</f>
        <v>0.40825396825396826</v>
      </c>
      <c r="I5" s="1">
        <f t="shared" si="1"/>
        <v>0.31301587301587303</v>
      </c>
      <c r="J5" s="1">
        <v>12</v>
      </c>
      <c r="K5" s="1">
        <f t="shared" si="2"/>
        <v>11.52</v>
      </c>
    </row>
    <row r="6" spans="1:11" x14ac:dyDescent="0.3">
      <c r="B6" s="1">
        <v>1024</v>
      </c>
      <c r="C6" s="1">
        <v>53</v>
      </c>
      <c r="D6" s="1">
        <v>47</v>
      </c>
      <c r="E6" s="1">
        <f t="shared" si="3"/>
        <v>100</v>
      </c>
      <c r="F6" s="2">
        <f t="shared" si="0"/>
        <v>82.88</v>
      </c>
      <c r="G6" s="2">
        <f>(2*B6/$A$2)*(1.04*LOG(B6/2,2)+1.5+IF(MOD(ROUND(K6,0)-1,3)=0,0,1))</f>
        <v>86.88</v>
      </c>
      <c r="H6" s="1">
        <f>(E6-F6)/E6</f>
        <v>0.17120000000000005</v>
      </c>
      <c r="I6" s="1">
        <f t="shared" si="1"/>
        <v>0.13120000000000004</v>
      </c>
      <c r="J6" s="1">
        <v>13</v>
      </c>
      <c r="K6" s="1">
        <f t="shared" si="2"/>
        <v>12.959999999999999</v>
      </c>
    </row>
    <row r="7" spans="1:11" x14ac:dyDescent="0.3">
      <c r="B7" s="1">
        <v>2048</v>
      </c>
      <c r="C7" s="1">
        <v>121</v>
      </c>
      <c r="D7" s="1">
        <v>110</v>
      </c>
      <c r="E7" s="1">
        <f t="shared" si="3"/>
        <v>231</v>
      </c>
      <c r="F7" s="2">
        <f t="shared" si="0"/>
        <v>182.4</v>
      </c>
      <c r="G7" s="2">
        <f>(2*B7/$A$2)*(1.04*LOG(B7/2,2)+1.5+IF(MOD(ROUND(K7,0)-1,3)=0,0,1))</f>
        <v>206.4</v>
      </c>
      <c r="H7" s="1">
        <f>(E7-F7)/E7</f>
        <v>0.21038961038961038</v>
      </c>
      <c r="I7" s="1">
        <f t="shared" si="1"/>
        <v>0.10649350649350647</v>
      </c>
      <c r="J7" s="1">
        <v>15</v>
      </c>
      <c r="K7" s="1">
        <f t="shared" si="2"/>
        <v>14.399999999999999</v>
      </c>
    </row>
    <row r="8" spans="1:11" x14ac:dyDescent="0.3">
      <c r="B8" s="1">
        <v>4096</v>
      </c>
      <c r="C8" s="1">
        <v>232</v>
      </c>
      <c r="D8" s="1">
        <v>214</v>
      </c>
      <c r="E8" s="1">
        <f t="shared" si="3"/>
        <v>446</v>
      </c>
      <c r="F8" s="2">
        <f t="shared" si="0"/>
        <v>398.08000000000004</v>
      </c>
      <c r="G8" s="2">
        <f>(2*B8/$A$2)*(1.04*LOG(B8/2,2)+1.5+IF(MOD(ROUND(K8,0)-1,3)=0,0,1))</f>
        <v>414.08000000000004</v>
      </c>
      <c r="H8" s="1">
        <f>(E8-F8)/E8</f>
        <v>0.10744394618834072</v>
      </c>
      <c r="I8" s="1">
        <f t="shared" si="1"/>
        <v>7.1569506726457302E-2</v>
      </c>
      <c r="J8" s="1">
        <v>16</v>
      </c>
      <c r="K8" s="1">
        <f t="shared" si="2"/>
        <v>15.84</v>
      </c>
    </row>
    <row r="9" spans="1:11" x14ac:dyDescent="0.3">
      <c r="B9" s="1">
        <v>8192</v>
      </c>
      <c r="C9" s="1">
        <v>510</v>
      </c>
      <c r="D9" s="1">
        <v>475</v>
      </c>
      <c r="E9" s="1">
        <f t="shared" si="3"/>
        <v>985</v>
      </c>
      <c r="F9" s="2">
        <f t="shared" si="0"/>
        <v>862.72</v>
      </c>
      <c r="G9" s="2">
        <f>(2*B9/$A$2)*(1.04*LOG(B9/2,2)+1.5+IF(MOD(ROUND(K9,0)-1,3)=0,0,1))</f>
        <v>958.72</v>
      </c>
      <c r="H9" s="1">
        <f>(E9-F9)/E9</f>
        <v>0.1241421319796954</v>
      </c>
      <c r="I9" s="1">
        <f t="shared" si="1"/>
        <v>2.668020304568525E-2</v>
      </c>
      <c r="J9" s="1">
        <v>17</v>
      </c>
      <c r="K9" s="1">
        <f t="shared" si="2"/>
        <v>17.28</v>
      </c>
    </row>
    <row r="10" spans="1:11" x14ac:dyDescent="0.3">
      <c r="B10" s="1">
        <f>8192*2</f>
        <v>16384</v>
      </c>
      <c r="C10" s="1">
        <v>1040</v>
      </c>
      <c r="D10" s="1">
        <v>974</v>
      </c>
      <c r="E10" s="1">
        <f t="shared" si="3"/>
        <v>2014</v>
      </c>
      <c r="F10" s="2">
        <f t="shared" si="0"/>
        <v>1858.56</v>
      </c>
      <c r="G10" s="2">
        <f>(2*B10/$A$2)*(1.04*LOG(B10/2,2)+1.5+IF(MOD(ROUND(K10,0)-1,3)=0,0,1))</f>
        <v>1922.56</v>
      </c>
      <c r="H10" s="1">
        <f>(E10-F10)/E10</f>
        <v>7.7179741807348587E-2</v>
      </c>
      <c r="I10" s="1">
        <f t="shared" si="1"/>
        <v>4.5402184707050673E-2</v>
      </c>
      <c r="J10" s="1">
        <v>19</v>
      </c>
      <c r="K10" s="1">
        <f t="shared" si="2"/>
        <v>18.72</v>
      </c>
    </row>
    <row r="11" spans="1:11" x14ac:dyDescent="0.3">
      <c r="B11" s="1">
        <f>2*B10</f>
        <v>32768</v>
      </c>
      <c r="C11" s="1">
        <v>2285</v>
      </c>
      <c r="D11" s="1">
        <v>2154</v>
      </c>
      <c r="E11" s="1">
        <f t="shared" si="3"/>
        <v>4439</v>
      </c>
      <c r="F11" s="2">
        <f t="shared" si="0"/>
        <v>3983.36</v>
      </c>
      <c r="G11" s="2">
        <f>(2*B11/$A$2)*(1.04*LOG(B11/2,2)+1.5+IF(MOD(ROUND(K11,0)-1,3)=0,0,1))</f>
        <v>4367.3600000000006</v>
      </c>
      <c r="H11" s="1">
        <f>(E11-F11)/E11</f>
        <v>0.10264473980626264</v>
      </c>
      <c r="I11" s="1">
        <f t="shared" si="1"/>
        <v>1.613876999324159E-2</v>
      </c>
      <c r="J11" s="1">
        <v>20</v>
      </c>
      <c r="K11" s="1">
        <f t="shared" si="2"/>
        <v>20.16</v>
      </c>
    </row>
    <row r="12" spans="1:11" x14ac:dyDescent="0.3">
      <c r="B12" s="1">
        <f t="shared" ref="B12:B16" si="4">2*B11</f>
        <v>65536</v>
      </c>
      <c r="C12" s="1">
        <v>4668</v>
      </c>
      <c r="D12" s="1">
        <v>4410</v>
      </c>
      <c r="E12" s="1">
        <f t="shared" si="3"/>
        <v>9078</v>
      </c>
      <c r="F12" s="2">
        <f t="shared" si="0"/>
        <v>8499.2000000000007</v>
      </c>
      <c r="G12" s="2">
        <f>(2*B12/$A$2)*(1.04*LOG(B12/2,2)+1.5+IF(MOD(ROUND(K12,0)-1,3)=0,0,1))</f>
        <v>8755.2000000000007</v>
      </c>
      <c r="H12" s="1">
        <f>(E12-F12)/E12</f>
        <v>6.3758537122714176E-2</v>
      </c>
      <c r="I12" s="1">
        <f t="shared" si="1"/>
        <v>3.555849306014533E-2</v>
      </c>
      <c r="J12" s="1">
        <v>22</v>
      </c>
      <c r="K12" s="1">
        <f t="shared" si="2"/>
        <v>21.599999999999998</v>
      </c>
    </row>
    <row r="13" spans="1:11" x14ac:dyDescent="0.3">
      <c r="B13" s="1">
        <f t="shared" si="4"/>
        <v>131072</v>
      </c>
      <c r="C13" s="1">
        <v>10222</v>
      </c>
      <c r="D13" s="1">
        <v>9707</v>
      </c>
      <c r="E13" s="1">
        <f t="shared" si="3"/>
        <v>19929</v>
      </c>
      <c r="F13" s="2">
        <f t="shared" si="0"/>
        <v>18063.36</v>
      </c>
      <c r="G13" s="2">
        <f>(2*B13/$A$2)*(1.04*LOG(B13/2,2)+1.5+IF(MOD(ROUND(K13,0)-1,3)=0,0,1))</f>
        <v>19599.36</v>
      </c>
      <c r="H13" s="1">
        <f>(E13-F13)/E13</f>
        <v>9.3614330874604815E-2</v>
      </c>
      <c r="I13" s="1">
        <f t="shared" si="1"/>
        <v>1.6540719554418156E-2</v>
      </c>
      <c r="J13" s="1">
        <v>23</v>
      </c>
      <c r="K13" s="1">
        <f t="shared" si="2"/>
        <v>23.04</v>
      </c>
    </row>
    <row r="14" spans="1:11" x14ac:dyDescent="0.3">
      <c r="B14" s="1">
        <f t="shared" si="4"/>
        <v>262144</v>
      </c>
      <c r="C14" s="1">
        <v>20828</v>
      </c>
      <c r="D14" s="1">
        <v>19802</v>
      </c>
      <c r="E14" s="1">
        <f t="shared" si="3"/>
        <v>40630</v>
      </c>
      <c r="F14" s="2">
        <f t="shared" si="0"/>
        <v>38256.639999999999</v>
      </c>
      <c r="G14" s="2">
        <f>(2*B14/$A$2)*(1.04*LOG(B14/2,2)+1.5+IF(MOD(ROUND(K14,0)-1,3)=0,0,1))</f>
        <v>41328.639999999999</v>
      </c>
      <c r="H14" s="1">
        <f>(E14-F14)/E14</f>
        <v>5.8413979817868583E-2</v>
      </c>
      <c r="I14" s="1">
        <f t="shared" si="1"/>
        <v>-1.7195175978341113E-2</v>
      </c>
      <c r="J14" s="1">
        <v>25</v>
      </c>
      <c r="K14" s="1">
        <f t="shared" si="2"/>
        <v>24.48</v>
      </c>
    </row>
    <row r="15" spans="1:11" x14ac:dyDescent="0.3">
      <c r="B15" s="1">
        <f t="shared" si="4"/>
        <v>524288</v>
      </c>
      <c r="C15" s="1">
        <v>45308</v>
      </c>
      <c r="D15" s="1">
        <v>43257</v>
      </c>
      <c r="E15" s="1">
        <f t="shared" si="3"/>
        <v>88565</v>
      </c>
      <c r="F15" s="2">
        <f t="shared" si="0"/>
        <v>80773.119999999995</v>
      </c>
      <c r="G15" s="2">
        <f>(2*B15/$A$2)*(1.04*LOG(B15/2,2)+1.5+IF(MOD(ROUND(K15,0)-1,3)=0,0,1))</f>
        <v>86917.119999999995</v>
      </c>
      <c r="H15" s="1">
        <f>(E15-F15)/E15</f>
        <v>8.7979224298537856E-2</v>
      </c>
      <c r="I15" s="1">
        <f t="shared" si="1"/>
        <v>1.8606447242138596E-2</v>
      </c>
      <c r="J15" s="1">
        <v>26</v>
      </c>
      <c r="K15" s="1">
        <f t="shared" si="2"/>
        <v>25.919999999999998</v>
      </c>
    </row>
    <row r="16" spans="1:11" x14ac:dyDescent="0.3">
      <c r="B16" s="1">
        <f t="shared" si="4"/>
        <v>1048576</v>
      </c>
      <c r="E16" s="1">
        <f t="shared" si="3"/>
        <v>0</v>
      </c>
      <c r="F16" s="2">
        <f t="shared" si="0"/>
        <v>170065.92000000001</v>
      </c>
      <c r="G16" s="2">
        <f>(2*B16/$A$2)*(1.04*LOG(B16/2,2)+1.5+IF(MOD(ROUND(K16,0)-1,3)=0,0,1))</f>
        <v>182353.92000000001</v>
      </c>
      <c r="H16" s="1" t="e">
        <f>(E16-F16)/E16</f>
        <v>#DIV/0!</v>
      </c>
      <c r="I16" s="1" t="e">
        <f t="shared" si="1"/>
        <v>#DIV/0!</v>
      </c>
      <c r="J16" s="1"/>
      <c r="K16" s="1">
        <f t="shared" si="2"/>
        <v>27.36</v>
      </c>
    </row>
  </sheetData>
  <pageMargins left="0.7" right="0.7" top="0.75" bottom="0.75" header="0.3" footer="0.3"/>
  <ignoredErrors>
    <ignoredError sqref="E2:E9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Grzelakowski</dc:creator>
  <cp:lastModifiedBy>Kacper Grzelakowski</cp:lastModifiedBy>
  <dcterms:created xsi:type="dcterms:W3CDTF">2025-11-08T19:31:38Z</dcterms:created>
  <dcterms:modified xsi:type="dcterms:W3CDTF">2025-11-08T20:56:54Z</dcterms:modified>
</cp:coreProperties>
</file>